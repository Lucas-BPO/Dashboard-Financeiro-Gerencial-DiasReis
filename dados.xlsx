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r\OneDrive\Área de Trabalho\Docs Para Salvar\DIAS REIS\CLAUDE\Financeiro\"/>
    </mc:Choice>
  </mc:AlternateContent>
  <xr:revisionPtr revIDLastSave="0" documentId="13_ncr:1_{E682765D-37C9-488F-852E-85DB9C75A536}" xr6:coauthVersionLast="47" xr6:coauthVersionMax="47" xr10:uidLastSave="{00000000-0000-0000-0000-000000000000}"/>
  <bookViews>
    <workbookView xWindow="22932" yWindow="-108" windowWidth="23256" windowHeight="12456" activeTab="6" xr2:uid="{B23B7611-6BD0-4CF1-99E4-78FC05973F74}"/>
  </bookViews>
  <sheets>
    <sheet name="SALDOS" sheetId="2" r:id="rId1"/>
    <sheet name="FATURAMENTO" sheetId="1" r:id="rId2"/>
    <sheet name="RECEITAS" sheetId="3" r:id="rId3"/>
    <sheet name="CENTRO DE CUSTO" sheetId="6" r:id="rId4"/>
    <sheet name="DFC" sheetId="4" r:id="rId5"/>
    <sheet name="DRE " sheetId="7" r:id="rId6"/>
    <sheet name="INADIMPLÊNCIA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1" i="7" l="1"/>
  <c r="AE31" i="7"/>
  <c r="AG70" i="4"/>
  <c r="AG46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6" i="4"/>
  <c r="AG67" i="4"/>
  <c r="AG68" i="4"/>
  <c r="AG69" i="4"/>
  <c r="AG71" i="4"/>
  <c r="AG72" i="4"/>
  <c r="AG73" i="4"/>
  <c r="AG74" i="4"/>
  <c r="AG75" i="4"/>
  <c r="AG2" i="4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</calcChain>
</file>

<file path=xl/sharedStrings.xml><?xml version="1.0" encoding="utf-8"?>
<sst xmlns="http://schemas.openxmlformats.org/spreadsheetml/2006/main" count="2825" uniqueCount="182">
  <si>
    <t>DATA</t>
  </si>
  <si>
    <t>CONTA</t>
  </si>
  <si>
    <t>VALOR</t>
  </si>
  <si>
    <t>Conta Corrente</t>
  </si>
  <si>
    <t>Conta Capital</t>
  </si>
  <si>
    <t xml:space="preserve">TIPO </t>
  </si>
  <si>
    <t>Eventual</t>
  </si>
  <si>
    <t>Recorrente</t>
  </si>
  <si>
    <t>TIPO</t>
  </si>
  <si>
    <t xml:space="preserve">Recorrente </t>
  </si>
  <si>
    <t>TOTAL</t>
  </si>
  <si>
    <t>Saldo do Mês Anterior</t>
  </si>
  <si>
    <t>Total de Recebimentos</t>
  </si>
  <si>
    <t>Prestação de Serviços - Eventuais</t>
  </si>
  <si>
    <t>Prestação de Serviços - Mensais</t>
  </si>
  <si>
    <t>Créd. Pgto de Boletos</t>
  </si>
  <si>
    <t>Distrib. de Sobras Anual - Sicoob</t>
  </si>
  <si>
    <t>Juros e Multas Recebidos - Clientes</t>
  </si>
  <si>
    <t>Outras Entradas não Operacionais</t>
  </si>
  <si>
    <t>Estorno de Pagamento</t>
  </si>
  <si>
    <t>Honorários de Sucumbência</t>
  </si>
  <si>
    <t>Receb. Indevido</t>
  </si>
  <si>
    <t>Reembolso de Cliente</t>
  </si>
  <si>
    <t>Total de Pagamentos</t>
  </si>
  <si>
    <t>Simples Nacional - DAS</t>
  </si>
  <si>
    <t>Licença/Aluguel de Software</t>
  </si>
  <si>
    <t>Comissão por Indicação</t>
  </si>
  <si>
    <t>13º Salário</t>
  </si>
  <si>
    <t>Bolsa - Estagiários</t>
  </si>
  <si>
    <t>Curso/Treinamento</t>
  </si>
  <si>
    <t>FGTS</t>
  </si>
  <si>
    <t>Férias</t>
  </si>
  <si>
    <t>Indenização Trabalhista</t>
  </si>
  <si>
    <t>INSS</t>
  </si>
  <si>
    <t>Medicina e Segurança do Trabalho</t>
  </si>
  <si>
    <t>Prestação de Serviço - PJ</t>
  </si>
  <si>
    <t>Recrutamento e Seleção</t>
  </si>
  <si>
    <t>Salários e Ordenados</t>
  </si>
  <si>
    <t>Seguro de Vida</t>
  </si>
  <si>
    <t>Seguro de Vida - Estagiários</t>
  </si>
  <si>
    <t>Vale Alimentação / Refeição</t>
  </si>
  <si>
    <t>Vale Transporte</t>
  </si>
  <si>
    <t>Cartório</t>
  </si>
  <si>
    <t>Compras Diversas</t>
  </si>
  <si>
    <t>Papelaria e Material de Escritório</t>
  </si>
  <si>
    <t>TFLF - Taxa de Fiscalização</t>
  </si>
  <si>
    <t>Marketing e Publicidade</t>
  </si>
  <si>
    <t>Viagens e Estadias</t>
  </si>
  <si>
    <t>Brindes</t>
  </si>
  <si>
    <t>Pró-Labore</t>
  </si>
  <si>
    <t>Táxi / Uber / Motoboy</t>
  </si>
  <si>
    <t>Juros e Multas Diversos</t>
  </si>
  <si>
    <t>Tarifas Bancárias</t>
  </si>
  <si>
    <t>Computadores e Periféricos</t>
  </si>
  <si>
    <t>Licenças</t>
  </si>
  <si>
    <t>Telefone</t>
  </si>
  <si>
    <t>Despesas Diversas</t>
  </si>
  <si>
    <t>Despesas Reembolsáveis</t>
  </si>
  <si>
    <t>Estorno de Receb. Indevido</t>
  </si>
  <si>
    <t>Pgto p/ Cliente</t>
  </si>
  <si>
    <t>Pgto Estornado</t>
  </si>
  <si>
    <t>Pgto Indevido</t>
  </si>
  <si>
    <t>Taxas Diversas</t>
  </si>
  <si>
    <t>5.01 DISTRIBUIÇÃO DE RESULTADO OBTIDO</t>
  </si>
  <si>
    <t>Distribuição de Lucros</t>
  </si>
  <si>
    <t>Geração de Caixa do Período</t>
  </si>
  <si>
    <t>Saldo Final de Caixa</t>
  </si>
  <si>
    <t>FLUXO DE CAIXA RR DIAS REIS ADVOCACIA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</si>
  <si>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</si>
  <si>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</si>
  <si>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</si>
  <si>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</si>
  <si>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</si>
  <si>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</si>
  <si>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</si>
  <si>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</si>
  <si>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</si>
  <si>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</si>
  <si>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</si>
  <si>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</si>
  <si>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</si>
  <si>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</si>
  <si>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</si>
  <si>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</si>
  <si>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</si>
  <si>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</si>
  <si>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</si>
  <si>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</si>
  <si>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</si>
  <si>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</si>
  <si>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</si>
  <si>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</si>
  <si>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</si>
  <si>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</si>
  <si>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</si>
  <si>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</si>
  <si>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</si>
  <si>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CLIENTE</t>
  </si>
  <si>
    <t>VENCIMENTO</t>
  </si>
  <si>
    <t>ERNANE ACACIO DA SILVA</t>
  </si>
  <si>
    <t>JÚLIO CÉSAR DA SILVA</t>
  </si>
  <si>
    <t>ADAIR DE SOUZA COSTA</t>
  </si>
  <si>
    <t>CLIENTES</t>
  </si>
  <si>
    <t>ADVOGADOS</t>
  </si>
  <si>
    <t>Ano</t>
  </si>
  <si>
    <t>Data</t>
  </si>
  <si>
    <t>Centro de custo</t>
  </si>
  <si>
    <t>Categoria</t>
  </si>
  <si>
    <t>Valor</t>
  </si>
  <si>
    <t>Diretoria</t>
  </si>
  <si>
    <t>Administrativo</t>
  </si>
  <si>
    <t>Impostos</t>
  </si>
  <si>
    <t>Comercial</t>
  </si>
  <si>
    <t>Operacional</t>
  </si>
  <si>
    <t>Empresa</t>
  </si>
  <si>
    <t>Estorno de Receb, Indevido</t>
  </si>
  <si>
    <t>DRE Visão de Caixa Dias Reis</t>
  </si>
  <si>
    <t>1 Receitas Operacionais</t>
  </si>
  <si>
    <t>1.1 Receita de Vendas de Serviços</t>
  </si>
  <si>
    <t>(=) Receita Bruta de Vendas</t>
  </si>
  <si>
    <t>2 Deduções da Receita Bruta</t>
  </si>
  <si>
    <t>2.1 Impostos Sobre Vendas</t>
  </si>
  <si>
    <t>(=) Receita Líquida de Vendas</t>
  </si>
  <si>
    <t>3 Custos Operacionais</t>
  </si>
  <si>
    <t>3.1 Custo dos Serviços Prestados</t>
  </si>
  <si>
    <t>(=) Lucro Bruto</t>
  </si>
  <si>
    <t>(=) Margem de Contribuição</t>
  </si>
  <si>
    <t>4 Despesas operacionais</t>
  </si>
  <si>
    <t>4.1 Despesas comerciais</t>
  </si>
  <si>
    <t>4.2 Despesas administrativas</t>
  </si>
  <si>
    <t>4.3 Outras despesas operacionais</t>
  </si>
  <si>
    <t>(=) Lucro / Prejuízo Operacional</t>
  </si>
  <si>
    <t>5 Receitas e despesas financeiras e não operacionais</t>
  </si>
  <si>
    <t>5.1 Receitas e rendimentos financeiros</t>
  </si>
  <si>
    <t>5.2 Despesas financeiras</t>
  </si>
  <si>
    <t>6 Outras receitas e despesas não operacionais</t>
  </si>
  <si>
    <t>6.1 Outras receitas não operacionais</t>
  </si>
  <si>
    <t>6.2 Outras despesas não operacionais</t>
  </si>
  <si>
    <t>Impostos retidos em vendas</t>
  </si>
  <si>
    <t>Retenção de ISS</t>
  </si>
  <si>
    <t>(=) Lucro / Prejuízo Líquido</t>
  </si>
  <si>
    <t>7 Investimentos e financiamentos</t>
  </si>
  <si>
    <t>7.1 Aquisição de imobilizado</t>
  </si>
  <si>
    <t>(=) Lucro / Prejuízo Final</t>
  </si>
  <si>
    <t>3.1 RECEITA OPERACIONAL BRUTA</t>
  </si>
  <si>
    <t>3.2 RECEITAS FINANCEIRAS</t>
  </si>
  <si>
    <t>3.3 RECEITAS NÃO OPERACIONAIS</t>
  </si>
  <si>
    <t>4.1 DEDUÇÕES DA RECEITA BRUTA</t>
  </si>
  <si>
    <t>4.2 CUSTOS SOBRE OS SERVIÇOS PRESTADOS</t>
  </si>
  <si>
    <t>4.3 DESPESAS OPERACIONAIS/ADMINISTRATIVAS</t>
  </si>
  <si>
    <t>4.2.1 Custo Fixo</t>
  </si>
  <si>
    <t>4.2.2 Custo Variável</t>
  </si>
  <si>
    <t>4.3.3 Custo com Pessoal</t>
  </si>
  <si>
    <t>4.3.1 Despesas Administrativas</t>
  </si>
  <si>
    <t>4.3.2 Despesas Operacionais - Comerciais</t>
  </si>
  <si>
    <t>4.3.3 Despesas Operacionais - Pessoal</t>
  </si>
  <si>
    <t>4.3.4 Despesas Operacionais - Variáveis</t>
  </si>
  <si>
    <t>4.4 DESPESAS FINANCEIRAS</t>
  </si>
  <si>
    <t>4.5 INVESTIMENTOS</t>
  </si>
  <si>
    <t>4.6 DESPESAS NÃO OPERACIONAIS</t>
  </si>
  <si>
    <t>4.6.1 Outras Saídas não Operacionais</t>
  </si>
  <si>
    <t>Alteração Contratual</t>
  </si>
  <si>
    <t>Altaração Contratual</t>
  </si>
  <si>
    <t>jun/26</t>
  </si>
  <si>
    <t>3.1.1 Receita de Serviço Prestado</t>
  </si>
  <si>
    <t>JK INDUSTRIA</t>
  </si>
  <si>
    <t>OBSERVAÇÕES</t>
  </si>
  <si>
    <t>Aguardando empréstimo bancário para quitar</t>
  </si>
  <si>
    <t>jul/26</t>
  </si>
  <si>
    <t>OBRADEC MATERIAIS DE CONSTRUÇÃO</t>
  </si>
  <si>
    <t>DIAS E ROCHA LOCACAO DE IMOVEIS LTDA</t>
  </si>
  <si>
    <t>JM &amp; JM COMERCIO DE CALCADOS E COSME</t>
  </si>
  <si>
    <t>DELEVY COMERCIAL LTDA</t>
  </si>
  <si>
    <t>LP COMEX</t>
  </si>
  <si>
    <t xml:space="preserve">Diversas cobranças sem retonro. </t>
  </si>
  <si>
    <t xml:space="preserve">Diversas cobranças sem retorno. </t>
  </si>
  <si>
    <t>Informou que vai pagar no dia 04/08</t>
  </si>
  <si>
    <t xml:space="preserve">Esta pagando aos poucos. </t>
  </si>
  <si>
    <t xml:space="preserve">Está tratando com a Lindi e o Rodrigo. </t>
  </si>
  <si>
    <t xml:space="preserve">Informrou que vai pagar até sexta. </t>
  </si>
  <si>
    <t xml:space="preserve">Farei contato hoje dia 03/08. </t>
  </si>
  <si>
    <t xml:space="preserve">MAHTA COMERCIO E IMPORTACAO DE PRODUTOS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</si>
</sst>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0"/>
      <name val="Aptos Narrow"/>
      <family val="2"/>
    </font>
    <font>
      <sz val="11"/>
      <color rgb="FF575757"/>
      <name val="Aptos Narrow"/>
      <family val="2"/>
    </font>
    <font>
      <b/>
      <sz val="11"/>
      <color theme="0"/>
      <name val="Aptos Narrow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F1F4F9"/>
      </patternFill>
    </fill>
    <fill>
      <patternFill patternType="solid">
        <fgColor rgb="FFFFFFFF"/>
        <bgColor rgb="FFFFFFFF"/>
      </patternFill>
    </fill>
    <fill>
      <patternFill patternType="solid">
        <fgColor theme="1" tint="0.34998626667073579"/>
        <bgColor rgb="FFFFFFFF"/>
      </patternFill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2" applyFont="1"/>
    <xf numFmtId="0" fontId="5" fillId="0" borderId="0" xfId="0" applyFont="1"/>
    <xf numFmtId="17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/>
    <xf numFmtId="43" fontId="6" fillId="2" borderId="0" xfId="1" applyFont="1" applyFill="1" applyAlignment="1">
      <alignment horizontal="right"/>
    </xf>
    <xf numFmtId="0" fontId="6" fillId="4" borderId="0" xfId="0" applyFont="1" applyFill="1"/>
    <xf numFmtId="43" fontId="6" fillId="4" borderId="0" xfId="1" applyFont="1" applyFill="1" applyAlignment="1">
      <alignment horizontal="right"/>
    </xf>
    <xf numFmtId="0" fontId="7" fillId="2" borderId="0" xfId="0" applyFont="1" applyFill="1"/>
    <xf numFmtId="43" fontId="7" fillId="2" borderId="0" xfId="1" applyFont="1" applyFill="1" applyAlignment="1">
      <alignment horizontal="right"/>
    </xf>
    <xf numFmtId="0" fontId="8" fillId="2" borderId="0" xfId="0" applyFont="1" applyFill="1"/>
    <xf numFmtId="43" fontId="8" fillId="2" borderId="0" xfId="1" applyFont="1" applyFill="1" applyAlignment="1">
      <alignment horizontal="right"/>
    </xf>
    <xf numFmtId="0" fontId="9" fillId="3" borderId="0" xfId="0" applyFont="1" applyFill="1"/>
    <xf numFmtId="0" fontId="9" fillId="5" borderId="1" xfId="0" applyFont="1" applyFill="1" applyBorder="1" applyAlignment="1">
      <alignment horizontal="left" vertical="center" indent="1"/>
    </xf>
    <xf numFmtId="17" fontId="9" fillId="6" borderId="2" xfId="0" applyNumberFormat="1" applyFont="1" applyFill="1" applyBorder="1" applyAlignment="1">
      <alignment horizontal="center" vertical="center" wrapText="1"/>
    </xf>
    <xf numFmtId="17" fontId="9" fillId="6" borderId="3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/>
    </xf>
    <xf numFmtId="43" fontId="8" fillId="7" borderId="5" xfId="1" applyFont="1" applyFill="1" applyBorder="1" applyAlignment="1">
      <alignment horizontal="right" vertical="center"/>
    </xf>
    <xf numFmtId="43" fontId="8" fillId="7" borderId="6" xfId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left" vertical="center" indent="1"/>
    </xf>
    <xf numFmtId="0" fontId="10" fillId="7" borderId="4" xfId="0" applyFont="1" applyFill="1" applyBorder="1" applyAlignment="1">
      <alignment horizontal="left" vertical="center" indent="2"/>
    </xf>
    <xf numFmtId="43" fontId="10" fillId="7" borderId="5" xfId="1" applyFont="1" applyFill="1" applyBorder="1" applyAlignment="1">
      <alignment horizontal="right" vertical="center"/>
    </xf>
    <xf numFmtId="43" fontId="10" fillId="7" borderId="6" xfId="1" applyFont="1" applyFill="1" applyBorder="1" applyAlignment="1">
      <alignment horizontal="right" vertical="center"/>
    </xf>
    <xf numFmtId="0" fontId="11" fillId="8" borderId="4" xfId="0" applyFont="1" applyFill="1" applyBorder="1" applyAlignment="1">
      <alignment horizontal="left" vertical="center"/>
    </xf>
    <xf numFmtId="43" fontId="11" fillId="8" borderId="5" xfId="1" applyFont="1" applyFill="1" applyBorder="1" applyAlignment="1">
      <alignment horizontal="right" vertical="center"/>
    </xf>
    <xf numFmtId="43" fontId="11" fillId="8" borderId="6" xfId="1" applyFont="1" applyFill="1" applyBorder="1" applyAlignment="1">
      <alignment horizontal="right" vertical="center"/>
    </xf>
    <xf numFmtId="43" fontId="10" fillId="7" borderId="5" xfId="1" applyFont="1" applyFill="1" applyBorder="1" applyAlignment="1">
      <alignment horizontal="right" vertical="center" wrapText="1"/>
    </xf>
    <xf numFmtId="43" fontId="10" fillId="7" borderId="6" xfId="1" applyFont="1" applyFill="1" applyBorder="1" applyAlignment="1">
      <alignment horizontal="right" vertical="center" wrapText="1"/>
    </xf>
    <xf numFmtId="43" fontId="11" fillId="8" borderId="5" xfId="1" applyFont="1" applyFill="1" applyBorder="1" applyAlignment="1">
      <alignment horizontal="right" vertical="center" wrapText="1"/>
    </xf>
    <xf numFmtId="43" fontId="11" fillId="8" borderId="6" xfId="1" applyFont="1" applyFill="1" applyBorder="1" applyAlignment="1">
      <alignment horizontal="right" vertical="center" wrapText="1"/>
    </xf>
    <xf numFmtId="9" fontId="11" fillId="8" borderId="5" xfId="2" applyFont="1" applyFill="1" applyBorder="1" applyAlignment="1">
      <alignment horizontal="center" vertical="center" wrapText="1"/>
    </xf>
    <xf numFmtId="9" fontId="11" fillId="8" borderId="6" xfId="2" applyFont="1" applyFill="1" applyBorder="1" applyAlignment="1">
      <alignment horizontal="center" vertical="center" wrapText="1"/>
    </xf>
    <xf numFmtId="43" fontId="8" fillId="7" borderId="5" xfId="1" applyFont="1" applyFill="1" applyBorder="1" applyAlignment="1">
      <alignment horizontal="right" vertical="center" wrapText="1"/>
    </xf>
    <xf numFmtId="43" fontId="8" fillId="7" borderId="6" xfId="1" applyFont="1" applyFill="1" applyBorder="1" applyAlignment="1">
      <alignment horizontal="right" vertical="center" wrapText="1"/>
    </xf>
    <xf numFmtId="0" fontId="11" fillId="8" borderId="7" xfId="0" applyFont="1" applyFill="1" applyBorder="1" applyAlignment="1">
      <alignment horizontal="left" vertical="center"/>
    </xf>
    <xf numFmtId="43" fontId="11" fillId="8" borderId="8" xfId="1" applyFont="1" applyFill="1" applyBorder="1" applyAlignment="1">
      <alignment horizontal="right" vertical="center" wrapText="1"/>
    </xf>
    <xf numFmtId="43" fontId="11" fillId="8" borderId="9" xfId="1" applyFont="1" applyFill="1" applyBorder="1" applyAlignment="1">
      <alignment horizontal="right" vertical="center" wrapText="1"/>
    </xf>
    <xf numFmtId="43" fontId="0" fillId="0" borderId="0" xfId="1" applyFont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75757"/>
        <name val="Aptos Narrow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22" formatCode="mmm/yy"/>
      <fill>
        <patternFill patternType="solid">
          <fgColor rgb="FFF1F4F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0065F-D8C3-4BBB-9D77-446A8ADC7ED1}" name="Tabela5" displayName="Tabela5" ref="A1:C63" totalsRowShown="0">
  <autoFilter ref="A1:C63" xr:uid="{F5B0065F-D8C3-4BBB-9D77-446A8ADC7ED1}"/>
  <tableColumns count="3">
    <tableColumn id="1" xr3:uid="{283B56C8-5612-436E-A271-635B2364DF18}" name="DATA" dataDxfId="81"/>
    <tableColumn id="2" xr3:uid="{C029BB2B-79FB-4034-9EE5-75C6B71E2BC7}" name="CONTA"/>
    <tableColumn id="3" xr3:uid="{342DEB42-EDFA-414E-A18C-657B7F8C202F}" name="VALOR" dataCellStyle="Vírgula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F4340-D5E4-4A39-9B73-B502B20387DD}" name="Tabela3" displayName="Tabela3" ref="A1:E63" totalsRowShown="0">
  <autoFilter ref="A1:E63" xr:uid="{D0BF4340-D5E4-4A39-9B73-B502B20387DD}"/>
  <tableColumns count="5">
    <tableColumn id="1" xr3:uid="{47B7C25B-89B0-4CAF-9A2D-F26CEA1C4309}" name="DATA" dataDxfId="80"/>
    <tableColumn id="2" xr3:uid="{725F3A4C-F3FE-458E-83AB-326C9B41CEC1}" name="TIPO"/>
    <tableColumn id="3" xr3:uid="{5D5179FB-1682-4B1F-8585-09EBCB0EFF2F}" name="VALOR" dataCellStyle="Vírgula"/>
    <tableColumn id="4" xr3:uid="{7C9720E3-B2CF-4518-8A34-CB361C223352}" name="CLIENTES"/>
    <tableColumn id="5" xr3:uid="{A45CFB74-8C82-42A0-9BD4-D5528F9A85C6}" name="ADVOGADOS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E8EF9-D6F1-4FA9-A9AA-0CEBB48FDD3C}" name="Tabela2" displayName="Tabela2" ref="A1:C63" totalsRowShown="0">
  <autoFilter ref="A1:C63" xr:uid="{EB1E8EF9-D6F1-4FA9-A9AA-0CEBB48FDD3C}"/>
  <tableColumns count="3">
    <tableColumn id="1" xr3:uid="{2A1B7931-9163-4011-BAE7-02CF3C9635EA}" name="DATA" dataDxfId="79"/>
    <tableColumn id="2" xr3:uid="{9D6FAB2C-34ED-4E6B-B7EC-79238A6691D7}" name="TIPO "/>
    <tableColumn id="3" xr3:uid="{8C6ED0A4-8714-43FD-8163-ECF924B2AA34}" name="VALOR" dataCellStyle="Vírgula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7DDA85-EB60-4836-9A05-162A71F0F5D3}" name="Tabela1" displayName="Tabela1" ref="A1:E1192" totalsRowShown="0">
  <autoFilter ref="A1:E1192" xr:uid="{BA7DDA85-EB60-4836-9A05-162A71F0F5D3}"/>
  <tableColumns count="5">
    <tableColumn id="1" xr3:uid="{97503DF8-05D0-4E88-86C3-FF26A743EDF3}" name="Ano"/>
    <tableColumn id="3" xr3:uid="{FB6C2CA3-65FC-46BC-B81B-5550C9EC4AB6}" name="Data" dataDxfId="83"/>
    <tableColumn id="4" xr3:uid="{946A86F6-42D6-4D93-A9C1-3931ECD57D15}" name="Centro de custo"/>
    <tableColumn id="5" xr3:uid="{9E92430B-966E-4C09-960B-B98E9120B56B}" name="Categoria"/>
    <tableColumn id="6" xr3:uid="{30C88E56-B2B5-4D8B-A1E0-4B136EDB8514}" name="Valor" dataDxfId="82" dataCellStyle="Vírgul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F51CB-1582-49BA-B70E-8075B018D7A6}" name="Tabela4" displayName="Tabela4" ref="A1:AG76" totalsRowShown="0" headerRowDxfId="78" dataDxfId="77" dataCellStyle="Vírgula">
  <autoFilter ref="A1:AG76" xr:uid="{0AEF51CB-1582-49BA-B70E-8075B018D7A6}"/>
  <tableColumns count="33">
    <tableColumn id="1" xr3:uid="{CF237593-B881-4118-AB8E-736987B24F67}" name="FLUXO DE CAIXA RR DIAS REIS ADVOCACIA" dataDxfId="76"/>
    <tableColumn id="2" xr3:uid="{565A0FFE-DC64-46FC-AC26-480B8E64FD26}" name="jan/24" dataDxfId="75" dataCellStyle="Vírgula"/>
    <tableColumn id="3" xr3:uid="{8F0E7AB4-EF89-43F1-9B5F-4026AE4834AF}" name="fev/24" dataDxfId="74" dataCellStyle="Vírgula"/>
    <tableColumn id="4" xr3:uid="{EC6E3C5D-3563-4FFD-863B-F9D5A6F3FA68}" name="mar/24" dataDxfId="73" dataCellStyle="Vírgula"/>
    <tableColumn id="5" xr3:uid="{04F12145-8F02-49E2-A3D7-0D1F20DD89DA}" name="abr/24" dataDxfId="72" dataCellStyle="Vírgula"/>
    <tableColumn id="6" xr3:uid="{F1E33B9E-CF34-4081-AFCA-343DA38C03E3}" name="mai/24" dataDxfId="71" dataCellStyle="Vírgula"/>
    <tableColumn id="7" xr3:uid="{5A2E0E6E-F805-4E31-AB16-0B36F0BAFCD5}" name="jun/24" dataDxfId="70" dataCellStyle="Vírgula"/>
    <tableColumn id="8" xr3:uid="{0D46D558-81AD-4545-98E0-0E50DEB553F1}" name="jul/24" dataDxfId="69" dataCellStyle="Vírgula"/>
    <tableColumn id="9" xr3:uid="{AC516BFB-886B-4183-871C-689DB32D621B}" name="ago/24" dataDxfId="68" dataCellStyle="Vírgula"/>
    <tableColumn id="10" xr3:uid="{AFA6AF4B-97D5-4ED7-997A-F556AEA69A08}" name="set/24" dataDxfId="67" dataCellStyle="Vírgula"/>
    <tableColumn id="11" xr3:uid="{FEB3E9B9-486A-4EC9-9AA8-FDC1B980F340}" name="out/24" dataDxfId="66" dataCellStyle="Vírgula"/>
    <tableColumn id="12" xr3:uid="{8E09D937-C427-4362-A2B9-F2A3BCED7E69}" name="nov/24" dataDxfId="65" dataCellStyle="Vírgula"/>
    <tableColumn id="13" xr3:uid="{B4804BF7-E159-47FC-A979-93E21B55D5D4}" name="dez/24" dataDxfId="64" dataCellStyle="Vírgula"/>
    <tableColumn id="14" xr3:uid="{9428C220-35DB-4594-BC82-F6D3D51210AD}" name="jan/25" dataDxfId="63" dataCellStyle="Vírgula"/>
    <tableColumn id="15" xr3:uid="{113B5241-CB07-4E10-99FF-7F971A852AAA}" name="fev/25" dataDxfId="62" dataCellStyle="Vírgula"/>
    <tableColumn id="16" xr3:uid="{EBC0C70E-655A-43B2-A171-3F5C15BC31D8}" name="mar/25" dataDxfId="61" dataCellStyle="Vírgula"/>
    <tableColumn id="17" xr3:uid="{5978DB59-E375-4AC3-85FD-423F85025C81}" name="abr/25" dataDxfId="60" dataCellStyle="Vírgula"/>
    <tableColumn id="18" xr3:uid="{70AF45DB-45C7-456F-B8B8-F78F5A543BCB}" name="mai/25" dataDxfId="59" dataCellStyle="Vírgula"/>
    <tableColumn id="19" xr3:uid="{22CA0B51-4658-44A5-B618-70797EF7A5A1}" name="jun/25" dataDxfId="58" dataCellStyle="Vírgula"/>
    <tableColumn id="20" xr3:uid="{36983B74-D83F-4DB7-977A-1A57B4DE4B9A}" name="jul/25" dataDxfId="57" dataCellStyle="Vírgula"/>
    <tableColumn id="21" xr3:uid="{BD7C686D-55ED-4810-BCD6-811C92133620}" name="ago/25" dataDxfId="56" dataCellStyle="Vírgula"/>
    <tableColumn id="22" xr3:uid="{F2B23DA2-08D9-4648-B2A7-03FCEE1D9513}" name="set/25" dataDxfId="55" dataCellStyle="Vírgula"/>
    <tableColumn id="23" xr3:uid="{43693FED-1240-4631-B528-DFB21C23AE3F}" name="out/25" dataDxfId="54" dataCellStyle="Vírgula"/>
    <tableColumn id="24" xr3:uid="{A5026B0D-43FB-4701-9A73-B5AA1F65FADC}" name="nov/25" dataDxfId="53" dataCellStyle="Vírgula"/>
    <tableColumn id="25" xr3:uid="{10D5A09F-A366-4D44-A2A1-1FB5718F09A1}" name="dez/25" dataDxfId="52" dataCellStyle="Vírgula"/>
    <tableColumn id="26" xr3:uid="{12EACC00-B5C4-46BF-8507-F770196F6460}" name="jan/26" dataDxfId="51" dataCellStyle="Vírgula"/>
    <tableColumn id="27" xr3:uid="{BEC572F0-5C6D-4CFF-94F7-06774134B86D}" name="fev/26" dataDxfId="50" dataCellStyle="Vírgula"/>
    <tableColumn id="28" xr3:uid="{EFB58C4A-AF26-415C-AE48-A74C142C0855}" name="mar/26" dataDxfId="49" dataCellStyle="Vírgula"/>
    <tableColumn id="29" xr3:uid="{A664A900-5A1B-429A-9E44-D8C463DE4B3A}" name="abr/26" dataDxfId="48" dataCellStyle="Vírgula"/>
    <tableColumn id="30" xr3:uid="{2F306A07-5B65-4376-A21D-E681253B80BB}" name="mai/26" dataDxfId="47" dataCellStyle="Vírgula"/>
    <tableColumn id="32" xr3:uid="{86C7A4F2-739A-488A-96FB-FAF867035561}" name="jun/26"/>
    <tableColumn id="33" xr3:uid="{98F1C531-9124-4084-8472-88C48549AE38}" name="jul/26"/>
    <tableColumn id="31" xr3:uid="{1A0BD702-ABA7-48E2-8BA4-372F8F8BA598}" name="TOTAL" dataDxfId="46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B2B38E-21EE-4A6A-8A47-56A456CE7484}" name="Tabela18" displayName="Tabela18" ref="A1:AF78" totalsRowShown="0" headerRowDxfId="45" dataDxfId="43" headerRowBorderDxfId="44" tableBorderDxfId="42" totalsRowBorderDxfId="41" dataCellStyle="Vírgula">
  <autoFilter ref="A1:AF78" xr:uid="{87B2B38E-21EE-4A6A-8A47-56A456CE7484}"/>
  <tableColumns count="32">
    <tableColumn id="1" xr3:uid="{E878B149-7098-4AAE-AFCB-89B59C209DD7}" name="DRE Visão de Caixa Dias Reis" dataDxfId="40"/>
    <tableColumn id="2" xr3:uid="{1CAC9CB6-1929-400F-ADAE-5EDA1B93F8EF}" name="jan/24" dataDxfId="39" dataCellStyle="Vírgula"/>
    <tableColumn id="3" xr3:uid="{C38AE35A-FDBA-4266-98F5-7A78E5FE94A1}" name="fev/24" dataDxfId="38" dataCellStyle="Vírgula"/>
    <tableColumn id="4" xr3:uid="{5D8AA585-E399-4F96-B9CE-7E1A466570ED}" name="mar/24" dataDxfId="37" dataCellStyle="Vírgula"/>
    <tableColumn id="5" xr3:uid="{7F600281-423C-4B6B-A703-182511C8611C}" name="abr/24" dataDxfId="36" dataCellStyle="Vírgula"/>
    <tableColumn id="6" xr3:uid="{C0FE5BCF-8B46-4A39-B90E-DD4F466ED10E}" name="mai/24" dataDxfId="35" dataCellStyle="Vírgula"/>
    <tableColumn id="7" xr3:uid="{15479CA5-6939-4382-A76D-60723314287D}" name="jun/24" dataDxfId="34" dataCellStyle="Vírgula"/>
    <tableColumn id="8" xr3:uid="{1138F874-B207-41F4-A937-0FC61D6E0B61}" name="jul/24" dataDxfId="33" dataCellStyle="Vírgula"/>
    <tableColumn id="9" xr3:uid="{0C888585-897F-4183-B73C-5DEFC0343F6B}" name="ago/24" dataDxfId="32" dataCellStyle="Vírgula"/>
    <tableColumn id="10" xr3:uid="{6D24E858-7F24-49E9-9C0D-4ED9A9125BCA}" name="set/24" dataDxfId="31" dataCellStyle="Vírgula"/>
    <tableColumn id="11" xr3:uid="{8E4BE558-F66F-417B-984B-02C2ED8D6252}" name="out/24" dataDxfId="30" dataCellStyle="Vírgula"/>
    <tableColumn id="12" xr3:uid="{C63FCD55-1A73-4E7D-835C-E4299A2228CE}" name="nov/24" dataDxfId="29" dataCellStyle="Vírgula"/>
    <tableColumn id="13" xr3:uid="{7951B624-D7F3-48D2-BBF8-2AA827103C2D}" name="dez/24" dataDxfId="28" dataCellStyle="Vírgula"/>
    <tableColumn id="14" xr3:uid="{E2DFC9A8-9F40-40D0-8AF0-6621BE497EC0}" name="jan/25" dataDxfId="27" dataCellStyle="Vírgula"/>
    <tableColumn id="15" xr3:uid="{36C4DED7-4AAD-4654-964E-32D33F913D67}" name="fev/25" dataDxfId="26" dataCellStyle="Vírgula"/>
    <tableColumn id="16" xr3:uid="{B25BDF41-91E5-4790-AFD2-B7875D1C860C}" name="mar/25" dataDxfId="25" dataCellStyle="Vírgula"/>
    <tableColumn id="17" xr3:uid="{6218D7B4-1659-4F5A-B1F7-690B0D26B753}" name="abr/25" dataDxfId="24" dataCellStyle="Vírgula"/>
    <tableColumn id="18" xr3:uid="{136C23D6-A966-481B-BBA1-4FC1DA8AF1FF}" name="mai/25" dataDxfId="23" dataCellStyle="Vírgula"/>
    <tableColumn id="19" xr3:uid="{A5AA3993-D9CA-4F5E-9216-C5184DD29269}" name="jun/25" dataDxfId="22" dataCellStyle="Vírgula"/>
    <tableColumn id="20" xr3:uid="{10B523C6-5EC6-4862-9EEA-6CB468C3549F}" name="jul/25" dataDxfId="21" dataCellStyle="Vírgula"/>
    <tableColumn id="21" xr3:uid="{4E3131FF-735E-4C65-8E9C-EFE31C640DEC}" name="ago/25" dataDxfId="20" dataCellStyle="Vírgula"/>
    <tableColumn id="22" xr3:uid="{95A6C458-E251-4E04-A238-2C63A3E985FC}" name="set/25" dataDxfId="19" dataCellStyle="Vírgula"/>
    <tableColumn id="23" xr3:uid="{0BD47788-D467-424A-820D-AFB487EFDC2E}" name="out/25" dataDxfId="18" dataCellStyle="Vírgula"/>
    <tableColumn id="24" xr3:uid="{7C049586-B708-466E-ACEE-4127926B6062}" name="nov/25" dataDxfId="17" dataCellStyle="Vírgula"/>
    <tableColumn id="25" xr3:uid="{53720348-3E8E-42A0-BD53-E183479E525C}" name="dez/25" dataDxfId="16" dataCellStyle="Vírgula"/>
    <tableColumn id="26" xr3:uid="{FCF36037-7AAE-465D-B4CF-36ADF137064C}" name="jan/26" dataDxfId="15" dataCellStyle="Vírgula"/>
    <tableColumn id="27" xr3:uid="{06147F92-1523-429D-B5C2-6E38692A73CE}" name="fev/26" dataDxfId="14" dataCellStyle="Vírgula"/>
    <tableColumn id="28" xr3:uid="{765ED407-4F8A-4C70-A4E3-F1F9E0EE4F25}" name="mar/26" dataDxfId="13" dataCellStyle="Vírgula"/>
    <tableColumn id="29" xr3:uid="{0076A524-F0BB-44EF-AB96-CB5E64EF15ED}" name="abr/26" dataDxfId="12" dataCellStyle="Vírgula"/>
    <tableColumn id="30" xr3:uid="{4DBB79E0-7C3F-46E5-8280-D59FF764C816}" name="mai/26" dataDxfId="11" dataCellStyle="Vírgula"/>
    <tableColumn id="32" xr3:uid="{B8B65481-7F6B-49E4-842C-0702F4A87C10}" name="jun/26" dataDxfId="0" dataCellStyle="Vírgula"/>
    <tableColumn id="31" xr3:uid="{3D302D08-BBDD-466F-AE30-39C0315F4391}" name="jul/26" dataDxfId="10" dataCellStyle="Vírgul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D476E2-FBD2-484F-A344-70705FECAB86}" name="Tabela46" displayName="Tabela46" ref="A1:D11" totalsRowShown="0" headerRowDxfId="9">
  <autoFilter ref="A1:D11" xr:uid="{DCD476E2-FBD2-484F-A344-70705FECAB86}"/>
  <tableColumns count="4">
    <tableColumn id="1" xr3:uid="{775E2D6B-73C0-4C8B-9077-16FAB2D820ED}" name="CLIENTE"/>
    <tableColumn id="2" xr3:uid="{5C3BC82A-C45D-439A-A401-750BDAB45434}" name="VENCIMENTO" dataDxfId="8"/>
    <tableColumn id="3" xr3:uid="{6DBA4445-4318-4883-98DC-7A708E940F1F}" name="VALOR" dataCellStyle="Vírgula"/>
    <tableColumn id="4" xr3:uid="{E0BBFCCA-E434-4FF7-B117-009653B325F2}" name="OBSERVAÇÕ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965D-B013-4D53-BD3F-0681FB200004}">
  <dimension ref="A1:C63"/>
  <sheetViews>
    <sheetView showGridLines="0" topLeftCell="A43" workbookViewId="0">
      <selection activeCell="N61" sqref="N61"/>
    </sheetView>
  </sheetViews>
  <sheetFormatPr defaultRowHeight="15" x14ac:dyDescent="0.25"/>
  <cols>
    <col min="1" max="1" width="13.7109375" customWidth="1"/>
    <col min="2" max="2" width="15.710937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t="s">
        <v>3</v>
      </c>
      <c r="C2" s="2">
        <v>43881.42</v>
      </c>
    </row>
    <row r="3" spans="1:3" x14ac:dyDescent="0.25">
      <c r="A3" s="1">
        <v>45292</v>
      </c>
      <c r="B3" t="s">
        <v>4</v>
      </c>
      <c r="C3" s="2">
        <v>0</v>
      </c>
    </row>
    <row r="4" spans="1:3" x14ac:dyDescent="0.25">
      <c r="A4" s="1">
        <v>45323</v>
      </c>
      <c r="B4" t="s">
        <v>3</v>
      </c>
      <c r="C4" s="2">
        <v>279289.71000000002</v>
      </c>
    </row>
    <row r="5" spans="1:3" x14ac:dyDescent="0.25">
      <c r="A5" s="1">
        <v>45323</v>
      </c>
      <c r="B5" t="s">
        <v>4</v>
      </c>
      <c r="C5" s="2">
        <v>4475.29</v>
      </c>
    </row>
    <row r="6" spans="1:3" x14ac:dyDescent="0.25">
      <c r="A6" s="1">
        <v>45352</v>
      </c>
      <c r="B6" t="s">
        <v>3</v>
      </c>
      <c r="C6" s="2">
        <v>91007.47</v>
      </c>
    </row>
    <row r="7" spans="1:3" x14ac:dyDescent="0.25">
      <c r="A7" s="1">
        <v>45352</v>
      </c>
      <c r="B7" t="s">
        <v>4</v>
      </c>
      <c r="C7" s="2">
        <v>4869.99</v>
      </c>
    </row>
    <row r="8" spans="1:3" x14ac:dyDescent="0.25">
      <c r="A8" s="1">
        <v>45383</v>
      </c>
      <c r="B8" t="s">
        <v>3</v>
      </c>
      <c r="C8" s="2">
        <v>33015.21</v>
      </c>
    </row>
    <row r="9" spans="1:3" x14ac:dyDescent="0.25">
      <c r="A9" s="1">
        <v>45383</v>
      </c>
      <c r="B9" t="s">
        <v>4</v>
      </c>
      <c r="C9" s="2">
        <v>4869.99</v>
      </c>
    </row>
    <row r="10" spans="1:3" x14ac:dyDescent="0.25">
      <c r="A10" s="1">
        <v>45413</v>
      </c>
      <c r="B10" t="s">
        <v>3</v>
      </c>
      <c r="C10" s="2">
        <v>30085.54</v>
      </c>
    </row>
    <row r="11" spans="1:3" x14ac:dyDescent="0.25">
      <c r="A11" s="1">
        <v>45413</v>
      </c>
      <c r="B11" t="s">
        <v>4</v>
      </c>
      <c r="C11" s="2">
        <v>4869.99</v>
      </c>
    </row>
    <row r="12" spans="1:3" x14ac:dyDescent="0.25">
      <c r="A12" s="1">
        <v>45444</v>
      </c>
      <c r="B12" t="s">
        <v>3</v>
      </c>
      <c r="C12" s="2">
        <v>91887.83</v>
      </c>
    </row>
    <row r="13" spans="1:3" x14ac:dyDescent="0.25">
      <c r="A13" s="1">
        <v>45444</v>
      </c>
      <c r="B13" t="s">
        <v>4</v>
      </c>
      <c r="C13" s="2">
        <v>4869.99</v>
      </c>
    </row>
    <row r="14" spans="1:3" x14ac:dyDescent="0.25">
      <c r="A14" s="1">
        <v>45474</v>
      </c>
      <c r="B14" t="s">
        <v>3</v>
      </c>
      <c r="C14" s="2">
        <v>87785.61</v>
      </c>
    </row>
    <row r="15" spans="1:3" x14ac:dyDescent="0.25">
      <c r="A15" s="1">
        <v>45474</v>
      </c>
      <c r="B15" t="s">
        <v>4</v>
      </c>
      <c r="C15" s="2">
        <v>4869.99</v>
      </c>
    </row>
    <row r="16" spans="1:3" x14ac:dyDescent="0.25">
      <c r="A16" s="1">
        <v>45505</v>
      </c>
      <c r="B16" t="s">
        <v>3</v>
      </c>
      <c r="C16" s="2">
        <v>24780.22</v>
      </c>
    </row>
    <row r="17" spans="1:3" x14ac:dyDescent="0.25">
      <c r="A17" s="1">
        <v>45505</v>
      </c>
      <c r="B17" t="s">
        <v>4</v>
      </c>
      <c r="C17" s="2">
        <v>4869.99</v>
      </c>
    </row>
    <row r="18" spans="1:3" x14ac:dyDescent="0.25">
      <c r="A18" s="1">
        <v>45536</v>
      </c>
      <c r="B18" t="s">
        <v>3</v>
      </c>
      <c r="C18" s="2">
        <v>41110.79</v>
      </c>
    </row>
    <row r="19" spans="1:3" x14ac:dyDescent="0.25">
      <c r="A19" s="1">
        <v>45536</v>
      </c>
      <c r="B19" t="s">
        <v>4</v>
      </c>
      <c r="C19" s="2">
        <v>4869.99</v>
      </c>
    </row>
    <row r="20" spans="1:3" x14ac:dyDescent="0.25">
      <c r="A20" s="1">
        <v>45566</v>
      </c>
      <c r="B20" t="s">
        <v>3</v>
      </c>
      <c r="C20" s="2">
        <v>32244.59</v>
      </c>
    </row>
    <row r="21" spans="1:3" x14ac:dyDescent="0.25">
      <c r="A21" s="1">
        <v>45566</v>
      </c>
      <c r="B21" t="s">
        <v>4</v>
      </c>
      <c r="C21" s="2">
        <v>4869.99</v>
      </c>
    </row>
    <row r="22" spans="1:3" x14ac:dyDescent="0.25">
      <c r="A22" s="1">
        <v>45597</v>
      </c>
      <c r="B22" t="s">
        <v>3</v>
      </c>
      <c r="C22" s="2">
        <v>111483.59</v>
      </c>
    </row>
    <row r="23" spans="1:3" x14ac:dyDescent="0.25">
      <c r="A23" s="1">
        <v>45597</v>
      </c>
      <c r="B23" t="s">
        <v>4</v>
      </c>
      <c r="C23" s="2">
        <v>4869.99</v>
      </c>
    </row>
    <row r="24" spans="1:3" x14ac:dyDescent="0.25">
      <c r="A24" s="1">
        <v>45627</v>
      </c>
      <c r="B24" t="s">
        <v>3</v>
      </c>
      <c r="C24" s="2">
        <v>49233.75</v>
      </c>
    </row>
    <row r="25" spans="1:3" x14ac:dyDescent="0.25">
      <c r="A25" s="1">
        <v>45627</v>
      </c>
      <c r="B25" t="s">
        <v>4</v>
      </c>
      <c r="C25" s="2">
        <v>4869.99</v>
      </c>
    </row>
    <row r="26" spans="1:3" x14ac:dyDescent="0.25">
      <c r="A26" s="1">
        <v>45658</v>
      </c>
      <c r="B26" t="s">
        <v>3</v>
      </c>
      <c r="C26" s="2">
        <v>358981.87</v>
      </c>
    </row>
    <row r="27" spans="1:3" x14ac:dyDescent="0.25">
      <c r="A27" s="1">
        <v>45658</v>
      </c>
      <c r="B27" t="s">
        <v>4</v>
      </c>
      <c r="C27" s="2">
        <v>4869.99</v>
      </c>
    </row>
    <row r="28" spans="1:3" x14ac:dyDescent="0.25">
      <c r="A28" s="1">
        <v>45689</v>
      </c>
      <c r="B28" t="s">
        <v>3</v>
      </c>
      <c r="C28" s="2">
        <v>284037.56</v>
      </c>
    </row>
    <row r="29" spans="1:3" x14ac:dyDescent="0.25">
      <c r="A29" s="1">
        <v>45689</v>
      </c>
      <c r="B29" t="s">
        <v>4</v>
      </c>
      <c r="C29" s="2">
        <v>4869.99</v>
      </c>
    </row>
    <row r="30" spans="1:3" x14ac:dyDescent="0.25">
      <c r="A30" s="1">
        <v>45717</v>
      </c>
      <c r="B30" t="s">
        <v>3</v>
      </c>
      <c r="C30" s="2">
        <v>88959.26</v>
      </c>
    </row>
    <row r="31" spans="1:3" x14ac:dyDescent="0.25">
      <c r="A31" s="1">
        <v>45717</v>
      </c>
      <c r="B31" t="s">
        <v>4</v>
      </c>
      <c r="C31" s="2">
        <v>5569.99</v>
      </c>
    </row>
    <row r="32" spans="1:3" x14ac:dyDescent="0.25">
      <c r="A32" s="1">
        <v>45748</v>
      </c>
      <c r="B32" t="s">
        <v>3</v>
      </c>
      <c r="C32" s="2">
        <v>79292.259999999995</v>
      </c>
    </row>
    <row r="33" spans="1:3" x14ac:dyDescent="0.25">
      <c r="A33" s="1">
        <v>45748</v>
      </c>
      <c r="B33" t="s">
        <v>4</v>
      </c>
      <c r="C33" s="2">
        <v>5569.99</v>
      </c>
    </row>
    <row r="34" spans="1:3" x14ac:dyDescent="0.25">
      <c r="A34" s="1">
        <v>45778</v>
      </c>
      <c r="B34" t="s">
        <v>3</v>
      </c>
      <c r="C34" s="2">
        <v>51716.32</v>
      </c>
    </row>
    <row r="35" spans="1:3" x14ac:dyDescent="0.25">
      <c r="A35" s="1">
        <v>45778</v>
      </c>
      <c r="B35" t="s">
        <v>4</v>
      </c>
      <c r="C35" s="2">
        <v>5569.99</v>
      </c>
    </row>
    <row r="36" spans="1:3" x14ac:dyDescent="0.25">
      <c r="A36" s="1">
        <v>45809</v>
      </c>
      <c r="B36" t="s">
        <v>3</v>
      </c>
      <c r="C36" s="2">
        <v>34056.910000000003</v>
      </c>
    </row>
    <row r="37" spans="1:3" x14ac:dyDescent="0.25">
      <c r="A37" s="1">
        <v>45809</v>
      </c>
      <c r="B37" t="s">
        <v>4</v>
      </c>
      <c r="C37" s="2">
        <v>5569.99</v>
      </c>
    </row>
    <row r="38" spans="1:3" x14ac:dyDescent="0.25">
      <c r="A38" s="1">
        <v>45839</v>
      </c>
      <c r="B38" t="s">
        <v>3</v>
      </c>
      <c r="C38" s="2">
        <v>126037.68</v>
      </c>
    </row>
    <row r="39" spans="1:3" x14ac:dyDescent="0.25">
      <c r="A39" s="1">
        <v>45839</v>
      </c>
      <c r="B39" t="s">
        <v>4</v>
      </c>
      <c r="C39" s="2">
        <v>5569.99</v>
      </c>
    </row>
    <row r="40" spans="1:3" x14ac:dyDescent="0.25">
      <c r="A40" s="1">
        <v>45870</v>
      </c>
      <c r="B40" t="s">
        <v>3</v>
      </c>
      <c r="C40" s="2">
        <v>67496.95</v>
      </c>
    </row>
    <row r="41" spans="1:3" x14ac:dyDescent="0.25">
      <c r="A41" s="1">
        <v>45870</v>
      </c>
      <c r="B41" t="s">
        <v>4</v>
      </c>
      <c r="C41" s="2">
        <v>5569.99</v>
      </c>
    </row>
    <row r="42" spans="1:3" x14ac:dyDescent="0.25">
      <c r="A42" s="1">
        <v>45901</v>
      </c>
      <c r="B42" t="s">
        <v>3</v>
      </c>
      <c r="C42" s="2">
        <v>51476.39</v>
      </c>
    </row>
    <row r="43" spans="1:3" x14ac:dyDescent="0.25">
      <c r="A43" s="1">
        <v>45901</v>
      </c>
      <c r="B43" t="s">
        <v>4</v>
      </c>
      <c r="C43" s="2">
        <v>5569.99</v>
      </c>
    </row>
    <row r="44" spans="1:3" x14ac:dyDescent="0.25">
      <c r="A44" s="1">
        <v>45931</v>
      </c>
      <c r="B44" t="s">
        <v>3</v>
      </c>
      <c r="C44" s="2">
        <v>53795.46</v>
      </c>
    </row>
    <row r="45" spans="1:3" x14ac:dyDescent="0.25">
      <c r="A45" s="1">
        <v>45931</v>
      </c>
      <c r="B45" t="s">
        <v>4</v>
      </c>
      <c r="C45" s="2">
        <v>5569.99</v>
      </c>
    </row>
    <row r="46" spans="1:3" x14ac:dyDescent="0.25">
      <c r="A46" s="1">
        <v>45962</v>
      </c>
      <c r="B46" t="s">
        <v>3</v>
      </c>
      <c r="C46" s="2">
        <v>101933.54</v>
      </c>
    </row>
    <row r="47" spans="1:3" x14ac:dyDescent="0.25">
      <c r="A47" s="1">
        <v>45962</v>
      </c>
      <c r="B47" t="s">
        <v>4</v>
      </c>
      <c r="C47" s="2">
        <v>5569.99</v>
      </c>
    </row>
    <row r="48" spans="1:3" x14ac:dyDescent="0.25">
      <c r="A48" s="1">
        <v>45992</v>
      </c>
      <c r="B48" t="s">
        <v>3</v>
      </c>
      <c r="C48" s="2">
        <v>62208.13</v>
      </c>
    </row>
    <row r="49" spans="1:3" x14ac:dyDescent="0.25">
      <c r="A49" s="1">
        <v>45992</v>
      </c>
      <c r="B49" t="s">
        <v>4</v>
      </c>
      <c r="C49" s="2">
        <v>5569.99</v>
      </c>
    </row>
    <row r="50" spans="1:3" x14ac:dyDescent="0.25">
      <c r="A50" s="1">
        <v>46023</v>
      </c>
      <c r="B50" t="s">
        <v>3</v>
      </c>
      <c r="C50" s="2">
        <v>91431.14</v>
      </c>
    </row>
    <row r="51" spans="1:3" x14ac:dyDescent="0.25">
      <c r="A51" s="1">
        <v>46023</v>
      </c>
      <c r="B51" t="s">
        <v>4</v>
      </c>
      <c r="C51" s="2">
        <v>5569.99</v>
      </c>
    </row>
    <row r="52" spans="1:3" x14ac:dyDescent="0.25">
      <c r="A52" s="1">
        <v>46054</v>
      </c>
      <c r="B52" t="s">
        <v>3</v>
      </c>
      <c r="C52" s="2">
        <v>66247.210000000006</v>
      </c>
    </row>
    <row r="53" spans="1:3" x14ac:dyDescent="0.25">
      <c r="A53" s="1">
        <v>46054</v>
      </c>
      <c r="B53" t="s">
        <v>4</v>
      </c>
      <c r="C53" s="2">
        <v>5569.99</v>
      </c>
    </row>
    <row r="54" spans="1:3" x14ac:dyDescent="0.25">
      <c r="A54" s="1">
        <v>46082</v>
      </c>
      <c r="B54" t="s">
        <v>3</v>
      </c>
      <c r="C54" s="2">
        <v>104652.66</v>
      </c>
    </row>
    <row r="55" spans="1:3" x14ac:dyDescent="0.25">
      <c r="A55" s="1">
        <v>46082</v>
      </c>
      <c r="B55" t="s">
        <v>4</v>
      </c>
      <c r="C55" s="2">
        <v>7085.66</v>
      </c>
    </row>
    <row r="56" spans="1:3" x14ac:dyDescent="0.25">
      <c r="A56" s="1">
        <v>46113</v>
      </c>
      <c r="B56" t="s">
        <v>3</v>
      </c>
      <c r="C56" s="2">
        <v>88002.5</v>
      </c>
    </row>
    <row r="57" spans="1:3" x14ac:dyDescent="0.25">
      <c r="A57" s="1">
        <v>46113</v>
      </c>
      <c r="B57" t="s">
        <v>4</v>
      </c>
      <c r="C57" s="2">
        <v>7085.66</v>
      </c>
    </row>
    <row r="58" spans="1:3" x14ac:dyDescent="0.25">
      <c r="A58" s="1">
        <v>46143</v>
      </c>
      <c r="B58" t="s">
        <v>3</v>
      </c>
      <c r="C58" s="2">
        <v>57583.66</v>
      </c>
    </row>
    <row r="59" spans="1:3" x14ac:dyDescent="0.25">
      <c r="A59" s="1">
        <v>46143</v>
      </c>
      <c r="B59" t="s">
        <v>4</v>
      </c>
      <c r="C59" s="2">
        <v>7085.66</v>
      </c>
    </row>
    <row r="60" spans="1:3" x14ac:dyDescent="0.25">
      <c r="A60" s="1">
        <v>46174</v>
      </c>
      <c r="B60" t="s">
        <v>3</v>
      </c>
      <c r="C60" s="2">
        <v>129424.4</v>
      </c>
    </row>
    <row r="61" spans="1:3" x14ac:dyDescent="0.25">
      <c r="A61" s="1">
        <v>46174</v>
      </c>
      <c r="B61" t="s">
        <v>4</v>
      </c>
      <c r="C61" s="2">
        <v>7085.66</v>
      </c>
    </row>
    <row r="62" spans="1:3" x14ac:dyDescent="0.25">
      <c r="A62" s="1">
        <v>46204</v>
      </c>
      <c r="B62" t="s">
        <v>3</v>
      </c>
      <c r="C62" s="2">
        <v>116053.31</v>
      </c>
    </row>
    <row r="63" spans="1:3" x14ac:dyDescent="0.25">
      <c r="A63" s="1">
        <v>46204</v>
      </c>
      <c r="B63" t="s">
        <v>4</v>
      </c>
      <c r="C63" s="2">
        <v>7085.66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5FB4-E0BE-4AEE-B87E-8DBD7E3AF31E}">
  <dimension ref="A1:I63"/>
  <sheetViews>
    <sheetView showGridLines="0" topLeftCell="A43" workbookViewId="0">
      <selection activeCell="J62" sqref="J62"/>
    </sheetView>
  </sheetViews>
  <sheetFormatPr defaultRowHeight="15" x14ac:dyDescent="0.25"/>
  <cols>
    <col min="1" max="1" width="13.140625" customWidth="1"/>
    <col min="2" max="2" width="19.140625" customWidth="1"/>
    <col min="3" max="3" width="13.140625" customWidth="1"/>
    <col min="4" max="4" width="15.42578125" customWidth="1"/>
    <col min="5" max="5" width="18" customWidth="1"/>
    <col min="7" max="7" width="14.7109375" bestFit="1" customWidth="1"/>
    <col min="9" max="9" width="11.5703125" bestFit="1" customWidth="1"/>
  </cols>
  <sheetData>
    <row r="1" spans="1:5" x14ac:dyDescent="0.25">
      <c r="A1" t="s">
        <v>0</v>
      </c>
      <c r="B1" t="s">
        <v>8</v>
      </c>
      <c r="C1" t="s">
        <v>2</v>
      </c>
      <c r="D1" t="s">
        <v>102</v>
      </c>
      <c r="E1" t="s">
        <v>103</v>
      </c>
    </row>
    <row r="2" spans="1:5" x14ac:dyDescent="0.25">
      <c r="A2" s="1">
        <v>45292</v>
      </c>
      <c r="B2" t="s">
        <v>9</v>
      </c>
      <c r="C2" s="2">
        <v>5875.76</v>
      </c>
    </row>
    <row r="3" spans="1:5" x14ac:dyDescent="0.25">
      <c r="A3" s="1">
        <v>45292</v>
      </c>
      <c r="B3" t="s">
        <v>6</v>
      </c>
      <c r="C3" s="2">
        <v>78666.66</v>
      </c>
    </row>
    <row r="4" spans="1:5" x14ac:dyDescent="0.25">
      <c r="A4" s="1">
        <v>45323</v>
      </c>
      <c r="B4" t="s">
        <v>9</v>
      </c>
      <c r="C4" s="2">
        <v>5875.76</v>
      </c>
    </row>
    <row r="5" spans="1:5" x14ac:dyDescent="0.25">
      <c r="A5" s="1">
        <v>45323</v>
      </c>
      <c r="B5" t="s">
        <v>6</v>
      </c>
      <c r="C5" s="2">
        <v>461197.93</v>
      </c>
    </row>
    <row r="6" spans="1:5" x14ac:dyDescent="0.25">
      <c r="A6" s="1">
        <v>45352</v>
      </c>
      <c r="B6" t="s">
        <v>9</v>
      </c>
      <c r="C6" s="2">
        <v>5875.76</v>
      </c>
    </row>
    <row r="7" spans="1:5" x14ac:dyDescent="0.25">
      <c r="A7" s="1">
        <v>45352</v>
      </c>
      <c r="B7" t="s">
        <v>6</v>
      </c>
      <c r="C7" s="2">
        <v>97679.06</v>
      </c>
    </row>
    <row r="8" spans="1:5" x14ac:dyDescent="0.25">
      <c r="A8" s="1">
        <v>45383</v>
      </c>
      <c r="B8" t="s">
        <v>9</v>
      </c>
      <c r="C8" s="2">
        <v>5875.76</v>
      </c>
    </row>
    <row r="9" spans="1:5" x14ac:dyDescent="0.25">
      <c r="A9" s="1">
        <v>45383</v>
      </c>
      <c r="B9" t="s">
        <v>6</v>
      </c>
      <c r="C9" s="2">
        <v>67435.44</v>
      </c>
    </row>
    <row r="10" spans="1:5" x14ac:dyDescent="0.25">
      <c r="A10" s="1">
        <v>45413</v>
      </c>
      <c r="B10" t="s">
        <v>9</v>
      </c>
      <c r="C10" s="2">
        <v>5875.76</v>
      </c>
    </row>
    <row r="11" spans="1:5" x14ac:dyDescent="0.25">
      <c r="A11" s="1">
        <v>45413</v>
      </c>
      <c r="B11" t="s">
        <v>6</v>
      </c>
      <c r="C11" s="2">
        <v>364769.86</v>
      </c>
    </row>
    <row r="12" spans="1:5" x14ac:dyDescent="0.25">
      <c r="A12" s="1">
        <v>45444</v>
      </c>
      <c r="B12" t="s">
        <v>9</v>
      </c>
      <c r="C12" s="2">
        <v>5875.76</v>
      </c>
    </row>
    <row r="13" spans="1:5" x14ac:dyDescent="0.25">
      <c r="A13" s="1">
        <v>45444</v>
      </c>
      <c r="B13" t="s">
        <v>6</v>
      </c>
      <c r="C13" s="2">
        <v>377319.08</v>
      </c>
    </row>
    <row r="14" spans="1:5" x14ac:dyDescent="0.25">
      <c r="A14" s="1">
        <v>45474</v>
      </c>
      <c r="B14" t="s">
        <v>9</v>
      </c>
      <c r="C14" s="2">
        <v>7675.76</v>
      </c>
    </row>
    <row r="15" spans="1:5" x14ac:dyDescent="0.25">
      <c r="A15" s="1">
        <v>45474</v>
      </c>
      <c r="B15" t="s">
        <v>6</v>
      </c>
      <c r="C15" s="2">
        <v>78372.5</v>
      </c>
    </row>
    <row r="16" spans="1:5" x14ac:dyDescent="0.25">
      <c r="A16" s="1">
        <v>45505</v>
      </c>
      <c r="B16" t="s">
        <v>9</v>
      </c>
      <c r="C16" s="2">
        <v>3875.76</v>
      </c>
    </row>
    <row r="17" spans="1:3" x14ac:dyDescent="0.25">
      <c r="A17" s="1">
        <v>45505</v>
      </c>
      <c r="B17" t="s">
        <v>6</v>
      </c>
      <c r="C17" s="2">
        <v>64364.81</v>
      </c>
    </row>
    <row r="18" spans="1:3" x14ac:dyDescent="0.25">
      <c r="A18" s="1">
        <v>45536</v>
      </c>
      <c r="B18" t="s">
        <v>9</v>
      </c>
      <c r="C18" s="2">
        <v>3875.76</v>
      </c>
    </row>
    <row r="19" spans="1:3" x14ac:dyDescent="0.25">
      <c r="A19" s="1">
        <v>45536</v>
      </c>
      <c r="B19" t="s">
        <v>6</v>
      </c>
      <c r="C19" s="2">
        <v>90471.98</v>
      </c>
    </row>
    <row r="20" spans="1:3" x14ac:dyDescent="0.25">
      <c r="A20" s="1">
        <v>45566</v>
      </c>
      <c r="B20" t="s">
        <v>9</v>
      </c>
      <c r="C20" s="2">
        <v>3875.76</v>
      </c>
    </row>
    <row r="21" spans="1:3" x14ac:dyDescent="0.25">
      <c r="A21" s="1">
        <v>45566</v>
      </c>
      <c r="B21" t="s">
        <v>6</v>
      </c>
      <c r="C21" s="2">
        <v>126362.61</v>
      </c>
    </row>
    <row r="22" spans="1:3" x14ac:dyDescent="0.25">
      <c r="A22" s="1">
        <v>45597</v>
      </c>
      <c r="B22" t="s">
        <v>9</v>
      </c>
      <c r="C22" s="2">
        <v>2550</v>
      </c>
    </row>
    <row r="23" spans="1:3" x14ac:dyDescent="0.25">
      <c r="A23" s="1">
        <v>45597</v>
      </c>
      <c r="B23" t="s">
        <v>6</v>
      </c>
      <c r="C23" s="2">
        <v>79359.37</v>
      </c>
    </row>
    <row r="24" spans="1:3" x14ac:dyDescent="0.25">
      <c r="A24" s="1">
        <v>45627</v>
      </c>
      <c r="B24" t="s">
        <v>9</v>
      </c>
      <c r="C24" s="2">
        <v>8027.28</v>
      </c>
    </row>
    <row r="25" spans="1:3" x14ac:dyDescent="0.25">
      <c r="A25" s="1">
        <v>45627</v>
      </c>
      <c r="B25" t="s">
        <v>6</v>
      </c>
      <c r="C25" s="2">
        <v>123945.63</v>
      </c>
    </row>
    <row r="26" spans="1:3" x14ac:dyDescent="0.25">
      <c r="A26" s="1">
        <v>45658</v>
      </c>
      <c r="B26" t="s">
        <v>9</v>
      </c>
      <c r="C26" s="2">
        <v>3875.76</v>
      </c>
    </row>
    <row r="27" spans="1:3" x14ac:dyDescent="0.25">
      <c r="A27" s="1">
        <v>45658</v>
      </c>
      <c r="B27" t="s">
        <v>6</v>
      </c>
      <c r="C27" s="2">
        <v>680710.36</v>
      </c>
    </row>
    <row r="28" spans="1:3" x14ac:dyDescent="0.25">
      <c r="A28" s="1">
        <v>45689</v>
      </c>
      <c r="B28" t="s">
        <v>9</v>
      </c>
      <c r="C28" s="2">
        <v>3875.76</v>
      </c>
    </row>
    <row r="29" spans="1:3" x14ac:dyDescent="0.25">
      <c r="A29" s="1">
        <v>45689</v>
      </c>
      <c r="B29" t="s">
        <v>6</v>
      </c>
      <c r="C29" s="2">
        <v>478837.86</v>
      </c>
    </row>
    <row r="30" spans="1:3" x14ac:dyDescent="0.25">
      <c r="A30" s="1">
        <v>45717</v>
      </c>
      <c r="B30" t="s">
        <v>9</v>
      </c>
      <c r="C30" s="2">
        <v>3875.76</v>
      </c>
    </row>
    <row r="31" spans="1:3" x14ac:dyDescent="0.25">
      <c r="A31" s="1">
        <v>45717</v>
      </c>
      <c r="B31" t="s">
        <v>6</v>
      </c>
      <c r="C31" s="2">
        <v>279056.64000000001</v>
      </c>
    </row>
    <row r="32" spans="1:3" x14ac:dyDescent="0.25">
      <c r="A32" s="1">
        <v>45748</v>
      </c>
      <c r="B32" t="s">
        <v>9</v>
      </c>
      <c r="C32" s="2">
        <v>3875.76</v>
      </c>
    </row>
    <row r="33" spans="1:3" x14ac:dyDescent="0.25">
      <c r="A33" s="1">
        <v>45748</v>
      </c>
      <c r="B33" t="s">
        <v>6</v>
      </c>
      <c r="C33" s="2">
        <v>133998.29</v>
      </c>
    </row>
    <row r="34" spans="1:3" x14ac:dyDescent="0.25">
      <c r="A34" s="1">
        <v>45778</v>
      </c>
      <c r="B34" t="s">
        <v>9</v>
      </c>
      <c r="C34" s="2">
        <v>3875.76</v>
      </c>
    </row>
    <row r="35" spans="1:3" x14ac:dyDescent="0.25">
      <c r="A35" s="1">
        <v>45778</v>
      </c>
      <c r="B35" t="s">
        <v>6</v>
      </c>
      <c r="C35" s="2">
        <v>72841.490000000005</v>
      </c>
    </row>
    <row r="36" spans="1:3" x14ac:dyDescent="0.25">
      <c r="A36" s="1">
        <v>45809</v>
      </c>
      <c r="B36" t="s">
        <v>9</v>
      </c>
      <c r="C36" s="2">
        <v>3875.76</v>
      </c>
    </row>
    <row r="37" spans="1:3" x14ac:dyDescent="0.25">
      <c r="A37" s="1">
        <v>45809</v>
      </c>
      <c r="B37" t="s">
        <v>6</v>
      </c>
      <c r="C37" s="2">
        <v>77339.81</v>
      </c>
    </row>
    <row r="38" spans="1:3" x14ac:dyDescent="0.25">
      <c r="A38" s="1">
        <v>45839</v>
      </c>
      <c r="B38" t="s">
        <v>9</v>
      </c>
      <c r="C38" s="2">
        <v>18812.38</v>
      </c>
    </row>
    <row r="39" spans="1:3" x14ac:dyDescent="0.25">
      <c r="A39" s="1">
        <v>45839</v>
      </c>
      <c r="B39" t="s">
        <v>6</v>
      </c>
      <c r="C39" s="2">
        <v>133940</v>
      </c>
    </row>
    <row r="40" spans="1:3" x14ac:dyDescent="0.25">
      <c r="A40" s="1">
        <v>45870</v>
      </c>
      <c r="B40" t="s">
        <v>9</v>
      </c>
      <c r="C40" s="2">
        <v>18112.13</v>
      </c>
    </row>
    <row r="41" spans="1:3" x14ac:dyDescent="0.25">
      <c r="A41" s="1">
        <v>45870</v>
      </c>
      <c r="B41" t="s">
        <v>6</v>
      </c>
      <c r="C41" s="2">
        <v>112683.56</v>
      </c>
    </row>
    <row r="42" spans="1:3" x14ac:dyDescent="0.25">
      <c r="A42" s="1">
        <v>45901</v>
      </c>
      <c r="B42" t="s">
        <v>9</v>
      </c>
      <c r="C42" s="2">
        <v>18112.13</v>
      </c>
    </row>
    <row r="43" spans="1:3" x14ac:dyDescent="0.25">
      <c r="A43" s="1">
        <v>45901</v>
      </c>
      <c r="B43" t="s">
        <v>6</v>
      </c>
      <c r="C43" s="2">
        <v>145107.51999999999</v>
      </c>
    </row>
    <row r="44" spans="1:3" x14ac:dyDescent="0.25">
      <c r="A44" s="1">
        <v>45931</v>
      </c>
      <c r="B44" t="s">
        <v>9</v>
      </c>
      <c r="C44" s="2">
        <v>18112.13</v>
      </c>
    </row>
    <row r="45" spans="1:3" x14ac:dyDescent="0.25">
      <c r="A45" s="1">
        <v>45931</v>
      </c>
      <c r="B45" t="s">
        <v>6</v>
      </c>
      <c r="C45" s="2">
        <v>92330.76</v>
      </c>
    </row>
    <row r="46" spans="1:3" x14ac:dyDescent="0.25">
      <c r="A46" s="1">
        <v>45962</v>
      </c>
      <c r="B46" t="s">
        <v>9</v>
      </c>
      <c r="C46" s="2">
        <v>22224.26</v>
      </c>
    </row>
    <row r="47" spans="1:3" x14ac:dyDescent="0.25">
      <c r="A47" s="1">
        <v>45962</v>
      </c>
      <c r="B47" t="s">
        <v>6</v>
      </c>
      <c r="C47" s="2">
        <v>253892.15</v>
      </c>
    </row>
    <row r="48" spans="1:3" x14ac:dyDescent="0.25">
      <c r="A48" s="1">
        <v>45992</v>
      </c>
      <c r="B48" t="s">
        <v>9</v>
      </c>
      <c r="C48" s="2">
        <v>18112.13</v>
      </c>
    </row>
    <row r="49" spans="1:9" x14ac:dyDescent="0.25">
      <c r="A49" s="1">
        <v>45992</v>
      </c>
      <c r="B49" t="s">
        <v>6</v>
      </c>
      <c r="C49" s="2">
        <v>116994.58</v>
      </c>
    </row>
    <row r="50" spans="1:9" x14ac:dyDescent="0.25">
      <c r="A50" s="1">
        <v>46023</v>
      </c>
      <c r="B50" t="s">
        <v>9</v>
      </c>
      <c r="C50" s="2">
        <v>18112.13</v>
      </c>
      <c r="I50" s="2"/>
    </row>
    <row r="51" spans="1:9" x14ac:dyDescent="0.25">
      <c r="A51" s="1">
        <v>46023</v>
      </c>
      <c r="B51" t="s">
        <v>6</v>
      </c>
      <c r="C51" s="2">
        <v>366025.21</v>
      </c>
      <c r="I51" s="2"/>
    </row>
    <row r="52" spans="1:9" x14ac:dyDescent="0.25">
      <c r="A52" s="1">
        <v>46054</v>
      </c>
      <c r="B52" t="s">
        <v>9</v>
      </c>
      <c r="C52" s="2">
        <v>18112.13</v>
      </c>
    </row>
    <row r="53" spans="1:9" x14ac:dyDescent="0.25">
      <c r="A53" s="1">
        <v>46054</v>
      </c>
      <c r="B53" t="s">
        <v>6</v>
      </c>
      <c r="C53" s="2">
        <v>203665.76</v>
      </c>
      <c r="I53" s="11"/>
    </row>
    <row r="54" spans="1:9" x14ac:dyDescent="0.25">
      <c r="A54" s="1">
        <v>46082</v>
      </c>
      <c r="B54" t="s">
        <v>9</v>
      </c>
      <c r="C54" s="2">
        <v>18112.13</v>
      </c>
    </row>
    <row r="55" spans="1:9" x14ac:dyDescent="0.25">
      <c r="A55" s="1">
        <v>46082</v>
      </c>
      <c r="B55" t="s">
        <v>6</v>
      </c>
      <c r="C55" s="2">
        <v>211755.03</v>
      </c>
    </row>
    <row r="56" spans="1:9" x14ac:dyDescent="0.25">
      <c r="A56" s="1">
        <v>46113</v>
      </c>
      <c r="B56" t="s">
        <v>9</v>
      </c>
      <c r="C56" s="2">
        <v>16215.81</v>
      </c>
    </row>
    <row r="57" spans="1:9" x14ac:dyDescent="0.25">
      <c r="A57" s="1">
        <v>46113</v>
      </c>
      <c r="B57" t="s">
        <v>6</v>
      </c>
      <c r="C57" s="2">
        <v>175120.09</v>
      </c>
    </row>
    <row r="58" spans="1:9" x14ac:dyDescent="0.25">
      <c r="A58" s="1">
        <v>46143</v>
      </c>
      <c r="B58" t="s">
        <v>9</v>
      </c>
      <c r="C58" s="2">
        <v>26215.81</v>
      </c>
      <c r="E58" s="10"/>
    </row>
    <row r="59" spans="1:9" x14ac:dyDescent="0.25">
      <c r="A59" s="1">
        <v>46143</v>
      </c>
      <c r="B59" t="s">
        <v>6</v>
      </c>
      <c r="C59" s="2">
        <v>137644.49</v>
      </c>
      <c r="D59" s="10"/>
      <c r="E59" s="10"/>
      <c r="G59" s="11"/>
    </row>
    <row r="60" spans="1:9" x14ac:dyDescent="0.25">
      <c r="A60" s="1">
        <v>46174</v>
      </c>
      <c r="B60" t="s">
        <v>9</v>
      </c>
      <c r="C60" s="2">
        <v>26215.81</v>
      </c>
      <c r="D60" s="10"/>
    </row>
    <row r="61" spans="1:9" x14ac:dyDescent="0.25">
      <c r="A61" s="1">
        <v>46174</v>
      </c>
      <c r="B61" t="s">
        <v>6</v>
      </c>
      <c r="C61" s="2">
        <v>203601.98</v>
      </c>
      <c r="D61" s="10"/>
    </row>
    <row r="62" spans="1:9" x14ac:dyDescent="0.25">
      <c r="A62" s="1">
        <v>46204</v>
      </c>
      <c r="B62" t="s">
        <v>9</v>
      </c>
      <c r="C62" s="2">
        <v>26215.81</v>
      </c>
      <c r="D62" s="10">
        <v>3</v>
      </c>
    </row>
    <row r="63" spans="1:9" x14ac:dyDescent="0.25">
      <c r="A63" s="1">
        <v>46204</v>
      </c>
      <c r="B63" t="s">
        <v>6</v>
      </c>
      <c r="C63" s="2">
        <v>243974.08</v>
      </c>
      <c r="D63" s="10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678D-BCF0-4600-95D5-1D967A6468DB}">
  <dimension ref="A1:C63"/>
  <sheetViews>
    <sheetView showGridLines="0" topLeftCell="A43" workbookViewId="0">
      <selection activeCell="G61" sqref="G61"/>
    </sheetView>
  </sheetViews>
  <sheetFormatPr defaultRowHeight="15" x14ac:dyDescent="0.25"/>
  <cols>
    <col min="1" max="1" width="13.85546875" style="3" customWidth="1"/>
    <col min="2" max="2" width="18.28515625" customWidth="1"/>
    <col min="3" max="3" width="15.42578125" customWidth="1"/>
  </cols>
  <sheetData>
    <row r="1" spans="1:3" x14ac:dyDescent="0.25">
      <c r="A1" s="3" t="s">
        <v>0</v>
      </c>
      <c r="B1" t="s">
        <v>5</v>
      </c>
      <c r="C1" t="s">
        <v>2</v>
      </c>
    </row>
    <row r="2" spans="1:3" x14ac:dyDescent="0.25">
      <c r="A2" s="4">
        <v>45292</v>
      </c>
      <c r="B2" t="s">
        <v>6</v>
      </c>
      <c r="C2" s="2">
        <v>63421.88</v>
      </c>
    </row>
    <row r="3" spans="1:3" x14ac:dyDescent="0.25">
      <c r="A3" s="4">
        <v>45292</v>
      </c>
      <c r="B3" t="s">
        <v>7</v>
      </c>
      <c r="C3" s="2">
        <v>5792.73</v>
      </c>
    </row>
    <row r="4" spans="1:3" x14ac:dyDescent="0.25">
      <c r="A4" s="4">
        <v>45323</v>
      </c>
      <c r="B4" t="s">
        <v>6</v>
      </c>
      <c r="C4" s="2">
        <v>260364.22</v>
      </c>
    </row>
    <row r="5" spans="1:3" x14ac:dyDescent="0.25">
      <c r="A5" s="4">
        <v>45323</v>
      </c>
      <c r="B5" t="s">
        <v>7</v>
      </c>
      <c r="C5" s="2">
        <v>5796.67</v>
      </c>
    </row>
    <row r="6" spans="1:3" x14ac:dyDescent="0.25">
      <c r="A6" s="4">
        <v>45352</v>
      </c>
      <c r="B6" t="s">
        <v>6</v>
      </c>
      <c r="C6" s="2">
        <v>259837.71</v>
      </c>
    </row>
    <row r="7" spans="1:3" x14ac:dyDescent="0.25">
      <c r="A7" s="4">
        <v>45352</v>
      </c>
      <c r="B7" t="s">
        <v>7</v>
      </c>
      <c r="C7" s="2">
        <v>5798.54</v>
      </c>
    </row>
    <row r="8" spans="1:3" x14ac:dyDescent="0.25">
      <c r="A8" s="4">
        <v>45383</v>
      </c>
      <c r="B8" t="s">
        <v>6</v>
      </c>
      <c r="C8" s="2">
        <v>71871.11</v>
      </c>
    </row>
    <row r="9" spans="1:3" x14ac:dyDescent="0.25">
      <c r="A9" s="4">
        <v>45383</v>
      </c>
      <c r="B9" t="s">
        <v>7</v>
      </c>
      <c r="C9" s="2">
        <v>5795.84</v>
      </c>
    </row>
    <row r="10" spans="1:3" x14ac:dyDescent="0.25">
      <c r="A10" s="4">
        <v>45413</v>
      </c>
      <c r="B10" t="s">
        <v>6</v>
      </c>
      <c r="C10" s="2">
        <v>165235.57999999999</v>
      </c>
    </row>
    <row r="11" spans="1:3" x14ac:dyDescent="0.25">
      <c r="A11" s="4">
        <v>45413</v>
      </c>
      <c r="B11" t="s">
        <v>7</v>
      </c>
      <c r="C11" s="2">
        <v>5783.6</v>
      </c>
    </row>
    <row r="12" spans="1:3" x14ac:dyDescent="0.25">
      <c r="A12" s="4">
        <v>45444</v>
      </c>
      <c r="B12" t="s">
        <v>6</v>
      </c>
      <c r="C12" s="2">
        <v>342852.83</v>
      </c>
    </row>
    <row r="13" spans="1:3" x14ac:dyDescent="0.25">
      <c r="A13" s="4">
        <v>45444</v>
      </c>
      <c r="B13" t="s">
        <v>7</v>
      </c>
      <c r="C13" s="2">
        <v>5783.18</v>
      </c>
    </row>
    <row r="14" spans="1:3" x14ac:dyDescent="0.25">
      <c r="A14" s="4">
        <v>45474</v>
      </c>
      <c r="B14" t="s">
        <v>6</v>
      </c>
      <c r="C14" s="2">
        <v>348753.26</v>
      </c>
    </row>
    <row r="15" spans="1:3" x14ac:dyDescent="0.25">
      <c r="A15" s="4">
        <v>45474</v>
      </c>
      <c r="B15" t="s">
        <v>7</v>
      </c>
      <c r="C15" s="2">
        <v>1983.18</v>
      </c>
    </row>
    <row r="16" spans="1:3" x14ac:dyDescent="0.25">
      <c r="A16" s="4">
        <v>45505</v>
      </c>
      <c r="B16" t="s">
        <v>6</v>
      </c>
      <c r="C16" s="2">
        <v>55646.98</v>
      </c>
    </row>
    <row r="17" spans="1:3" x14ac:dyDescent="0.25">
      <c r="A17" s="4">
        <v>45505</v>
      </c>
      <c r="B17" t="s">
        <v>7</v>
      </c>
      <c r="C17" s="2">
        <v>3779.03</v>
      </c>
    </row>
    <row r="18" spans="1:3" x14ac:dyDescent="0.25">
      <c r="A18" s="4">
        <v>45536</v>
      </c>
      <c r="B18" t="s">
        <v>6</v>
      </c>
      <c r="C18" s="2">
        <v>105856.49</v>
      </c>
    </row>
    <row r="19" spans="1:3" x14ac:dyDescent="0.25">
      <c r="A19" s="4">
        <v>45536</v>
      </c>
      <c r="B19" t="s">
        <v>7</v>
      </c>
      <c r="C19" s="2">
        <v>3772.18</v>
      </c>
    </row>
    <row r="20" spans="1:3" x14ac:dyDescent="0.25">
      <c r="A20" s="4">
        <v>45566</v>
      </c>
      <c r="B20" t="s">
        <v>6</v>
      </c>
      <c r="C20" s="2">
        <v>86630.33</v>
      </c>
    </row>
    <row r="21" spans="1:3" x14ac:dyDescent="0.25">
      <c r="A21" s="4">
        <v>45566</v>
      </c>
      <c r="B21" t="s">
        <v>7</v>
      </c>
      <c r="C21" s="2">
        <v>7574.26</v>
      </c>
    </row>
    <row r="22" spans="1:3" x14ac:dyDescent="0.25">
      <c r="A22" s="4">
        <v>45597</v>
      </c>
      <c r="B22" t="s">
        <v>6</v>
      </c>
      <c r="C22" s="2">
        <v>109254.57</v>
      </c>
    </row>
    <row r="23" spans="1:3" x14ac:dyDescent="0.25">
      <c r="A23" s="4">
        <v>45597</v>
      </c>
      <c r="B23" t="s">
        <v>7</v>
      </c>
      <c r="C23" s="2">
        <v>3776.75</v>
      </c>
    </row>
    <row r="24" spans="1:3" x14ac:dyDescent="0.25">
      <c r="A24" s="4">
        <v>45627</v>
      </c>
      <c r="B24" t="s">
        <v>6</v>
      </c>
      <c r="C24" s="2">
        <v>104386.24000000001</v>
      </c>
    </row>
    <row r="25" spans="1:3" x14ac:dyDescent="0.25">
      <c r="A25" s="4">
        <v>45627</v>
      </c>
      <c r="B25" t="s">
        <v>7</v>
      </c>
      <c r="C25" s="2">
        <v>6514.7</v>
      </c>
    </row>
    <row r="26" spans="1:3" x14ac:dyDescent="0.25">
      <c r="A26" s="4">
        <v>45658</v>
      </c>
      <c r="B26" t="s">
        <v>6</v>
      </c>
      <c r="C26" s="2">
        <v>686668.58</v>
      </c>
    </row>
    <row r="27" spans="1:3" x14ac:dyDescent="0.25">
      <c r="A27" s="4">
        <v>45658</v>
      </c>
      <c r="B27" t="s">
        <v>7</v>
      </c>
      <c r="C27" s="2">
        <v>3782.35</v>
      </c>
    </row>
    <row r="28" spans="1:3" x14ac:dyDescent="0.25">
      <c r="A28" s="4">
        <v>45689</v>
      </c>
      <c r="B28" t="s">
        <v>6</v>
      </c>
      <c r="C28" s="2">
        <v>288353.86</v>
      </c>
    </row>
    <row r="29" spans="1:3" x14ac:dyDescent="0.25">
      <c r="A29" s="4">
        <v>45689</v>
      </c>
      <c r="B29" t="s">
        <v>7</v>
      </c>
      <c r="C29" s="2">
        <v>3778.2</v>
      </c>
    </row>
    <row r="30" spans="1:3" x14ac:dyDescent="0.25">
      <c r="A30" s="4">
        <v>45717</v>
      </c>
      <c r="B30" t="s">
        <v>6</v>
      </c>
      <c r="C30" s="2">
        <v>263756.63</v>
      </c>
    </row>
    <row r="31" spans="1:3" x14ac:dyDescent="0.25">
      <c r="A31" s="4">
        <v>45717</v>
      </c>
      <c r="B31" t="s">
        <v>7</v>
      </c>
      <c r="C31" s="2">
        <v>3771.97</v>
      </c>
    </row>
    <row r="32" spans="1:3" x14ac:dyDescent="0.25">
      <c r="A32" s="4">
        <v>45748</v>
      </c>
      <c r="B32" t="s">
        <v>6</v>
      </c>
      <c r="C32" s="2">
        <v>333763.18</v>
      </c>
    </row>
    <row r="33" spans="1:3" x14ac:dyDescent="0.25">
      <c r="A33" s="4">
        <v>45748</v>
      </c>
      <c r="B33" t="s">
        <v>7</v>
      </c>
      <c r="C33" s="2">
        <v>3772.59</v>
      </c>
    </row>
    <row r="34" spans="1:3" x14ac:dyDescent="0.25">
      <c r="A34" s="4">
        <v>45778</v>
      </c>
      <c r="B34" t="s">
        <v>6</v>
      </c>
      <c r="C34" s="2">
        <v>80781.490000000005</v>
      </c>
    </row>
    <row r="35" spans="1:3" x14ac:dyDescent="0.25">
      <c r="A35" s="4">
        <v>45778</v>
      </c>
      <c r="B35" t="s">
        <v>7</v>
      </c>
      <c r="C35" s="2">
        <v>3771.97</v>
      </c>
    </row>
    <row r="36" spans="1:3" x14ac:dyDescent="0.25">
      <c r="A36" s="4">
        <v>45809</v>
      </c>
      <c r="B36" t="s">
        <v>6</v>
      </c>
      <c r="C36" s="2">
        <v>52000</v>
      </c>
    </row>
    <row r="37" spans="1:3" x14ac:dyDescent="0.25">
      <c r="A37" s="4">
        <v>45809</v>
      </c>
      <c r="B37" t="s">
        <v>7</v>
      </c>
      <c r="C37" s="2">
        <v>3771.97</v>
      </c>
    </row>
    <row r="38" spans="1:3" x14ac:dyDescent="0.25">
      <c r="A38" s="4">
        <v>45839</v>
      </c>
      <c r="B38" t="s">
        <v>6</v>
      </c>
      <c r="C38" s="2">
        <v>141072</v>
      </c>
    </row>
    <row r="39" spans="1:3" x14ac:dyDescent="0.25">
      <c r="A39" s="4">
        <v>45839</v>
      </c>
      <c r="B39" t="s">
        <v>7</v>
      </c>
      <c r="C39" s="2">
        <v>24929.37</v>
      </c>
    </row>
    <row r="40" spans="1:3" x14ac:dyDescent="0.25">
      <c r="A40" s="4">
        <v>45870</v>
      </c>
      <c r="B40" t="s">
        <v>6</v>
      </c>
      <c r="C40" s="2">
        <v>83940.62</v>
      </c>
    </row>
    <row r="41" spans="1:3" x14ac:dyDescent="0.25">
      <c r="A41" s="4">
        <v>45870</v>
      </c>
      <c r="B41" t="s">
        <v>7</v>
      </c>
      <c r="C41" s="2">
        <v>22066.58</v>
      </c>
    </row>
    <row r="42" spans="1:3" x14ac:dyDescent="0.25">
      <c r="A42" s="4">
        <v>45901</v>
      </c>
      <c r="B42" t="s">
        <v>6</v>
      </c>
      <c r="C42" s="2">
        <v>131794.43</v>
      </c>
    </row>
    <row r="43" spans="1:3" x14ac:dyDescent="0.25">
      <c r="A43" s="4">
        <v>45901</v>
      </c>
      <c r="B43" t="s">
        <v>7</v>
      </c>
      <c r="C43" s="2">
        <v>26188.47</v>
      </c>
    </row>
    <row r="44" spans="1:3" x14ac:dyDescent="0.25">
      <c r="A44" s="4">
        <v>45931</v>
      </c>
      <c r="B44" t="s">
        <v>6</v>
      </c>
      <c r="C44" s="2">
        <v>76925</v>
      </c>
    </row>
    <row r="45" spans="1:3" x14ac:dyDescent="0.25">
      <c r="A45" s="4">
        <v>45931</v>
      </c>
      <c r="B45" t="s">
        <v>7</v>
      </c>
      <c r="C45" s="2">
        <v>26946.22</v>
      </c>
    </row>
    <row r="46" spans="1:3" x14ac:dyDescent="0.25">
      <c r="A46" s="4">
        <v>45962</v>
      </c>
      <c r="B46" t="s">
        <v>6</v>
      </c>
      <c r="C46" s="2">
        <v>191927.94</v>
      </c>
    </row>
    <row r="47" spans="1:3" x14ac:dyDescent="0.25">
      <c r="A47" s="4">
        <v>45962</v>
      </c>
      <c r="B47" t="s">
        <v>7</v>
      </c>
      <c r="C47" s="2">
        <v>23601.29</v>
      </c>
    </row>
    <row r="48" spans="1:3" x14ac:dyDescent="0.25">
      <c r="A48" s="4">
        <v>45992</v>
      </c>
      <c r="B48" t="s">
        <v>6</v>
      </c>
      <c r="C48" s="2">
        <v>143838.70000000001</v>
      </c>
    </row>
    <row r="49" spans="1:3" x14ac:dyDescent="0.25">
      <c r="A49" s="4">
        <v>45992</v>
      </c>
      <c r="B49" t="s">
        <v>7</v>
      </c>
      <c r="C49" s="2">
        <v>26788.48</v>
      </c>
    </row>
    <row r="50" spans="1:3" x14ac:dyDescent="0.25">
      <c r="A50" s="4">
        <v>46023</v>
      </c>
      <c r="B50" t="s">
        <v>6</v>
      </c>
      <c r="C50" s="2">
        <v>355311.2</v>
      </c>
    </row>
    <row r="51" spans="1:3" x14ac:dyDescent="0.25">
      <c r="A51" s="4">
        <v>46023</v>
      </c>
      <c r="B51" t="s">
        <v>7</v>
      </c>
      <c r="C51" s="2">
        <v>18001.34</v>
      </c>
    </row>
    <row r="52" spans="1:3" x14ac:dyDescent="0.25">
      <c r="A52" s="4">
        <v>46054</v>
      </c>
      <c r="B52" t="s">
        <v>6</v>
      </c>
      <c r="C52" s="2">
        <v>196526.51</v>
      </c>
    </row>
    <row r="53" spans="1:3" x14ac:dyDescent="0.25">
      <c r="A53" s="4">
        <v>46054</v>
      </c>
      <c r="B53" t="s">
        <v>7</v>
      </c>
      <c r="C53" s="2">
        <v>18001.34</v>
      </c>
    </row>
    <row r="54" spans="1:3" x14ac:dyDescent="0.25">
      <c r="A54" s="4">
        <v>46082</v>
      </c>
      <c r="B54" t="s">
        <v>6</v>
      </c>
      <c r="C54" s="2">
        <v>220965.74</v>
      </c>
    </row>
    <row r="55" spans="1:3" x14ac:dyDescent="0.25">
      <c r="A55" s="4">
        <v>46082</v>
      </c>
      <c r="B55" t="s">
        <v>7</v>
      </c>
      <c r="C55" s="2">
        <v>18001.34</v>
      </c>
    </row>
    <row r="56" spans="1:3" x14ac:dyDescent="0.25">
      <c r="A56" s="4">
        <v>46113</v>
      </c>
      <c r="B56" t="s">
        <v>6</v>
      </c>
      <c r="C56" s="2">
        <v>178262.43</v>
      </c>
    </row>
    <row r="57" spans="1:3" x14ac:dyDescent="0.25">
      <c r="A57" s="4">
        <v>46113</v>
      </c>
      <c r="B57" t="s">
        <v>7</v>
      </c>
      <c r="C57" s="2">
        <v>18001.34</v>
      </c>
    </row>
    <row r="58" spans="1:3" x14ac:dyDescent="0.25">
      <c r="A58" s="4">
        <v>46143</v>
      </c>
      <c r="B58" t="s">
        <v>6</v>
      </c>
      <c r="C58" s="2">
        <v>111916.01</v>
      </c>
    </row>
    <row r="59" spans="1:3" x14ac:dyDescent="0.25">
      <c r="A59" s="4">
        <v>46143</v>
      </c>
      <c r="B59" t="s">
        <v>7</v>
      </c>
      <c r="C59" s="2">
        <v>16105.02</v>
      </c>
    </row>
    <row r="60" spans="1:3" x14ac:dyDescent="0.25">
      <c r="A60" s="4">
        <v>46174</v>
      </c>
      <c r="B60" t="s">
        <v>6</v>
      </c>
      <c r="C60" s="2">
        <v>169773.78</v>
      </c>
    </row>
    <row r="61" spans="1:3" x14ac:dyDescent="0.25">
      <c r="A61" s="4">
        <v>46174</v>
      </c>
      <c r="B61" t="s">
        <v>7</v>
      </c>
      <c r="C61" s="2">
        <v>26105.02</v>
      </c>
    </row>
    <row r="62" spans="1:3" x14ac:dyDescent="0.25">
      <c r="A62" s="4">
        <v>46204</v>
      </c>
      <c r="B62" t="s">
        <v>6</v>
      </c>
      <c r="C62" s="2">
        <v>203989.68</v>
      </c>
    </row>
    <row r="63" spans="1:3" x14ac:dyDescent="0.25">
      <c r="A63" s="4">
        <v>46204</v>
      </c>
      <c r="B63" t="s">
        <v>7</v>
      </c>
      <c r="C63" s="2">
        <v>26105.02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2DA0-47FD-4EF9-B1B0-0A654F6BD122}">
  <dimension ref="A1:E1192"/>
  <sheetViews>
    <sheetView showGridLines="0" topLeftCell="A1178" workbookViewId="0">
      <selection activeCell="L1195" sqref="L1195"/>
    </sheetView>
  </sheetViews>
  <sheetFormatPr defaultRowHeight="15" x14ac:dyDescent="0.25"/>
  <cols>
    <col min="2" max="2" width="21.5703125" style="4" customWidth="1"/>
    <col min="3" max="3" width="21.7109375" customWidth="1"/>
    <col min="4" max="4" width="27" customWidth="1"/>
    <col min="5" max="5" width="19.5703125" customWidth="1"/>
  </cols>
  <sheetData>
    <row r="1" spans="1:5" x14ac:dyDescent="0.25">
      <c r="A1" t="s">
        <v>104</v>
      </c>
      <c r="B1" s="4" t="s">
        <v>105</v>
      </c>
      <c r="C1" t="s">
        <v>106</v>
      </c>
      <c r="D1" t="s">
        <v>107</v>
      </c>
      <c r="E1" t="s">
        <v>108</v>
      </c>
    </row>
    <row r="2" spans="1:5" x14ac:dyDescent="0.25">
      <c r="A2">
        <v>2024</v>
      </c>
      <c r="B2" s="4">
        <v>45292</v>
      </c>
      <c r="C2" t="s">
        <v>109</v>
      </c>
      <c r="D2" t="s">
        <v>64</v>
      </c>
      <c r="E2" s="2">
        <v>40000</v>
      </c>
    </row>
    <row r="3" spans="1:5" x14ac:dyDescent="0.25">
      <c r="A3">
        <v>2024</v>
      </c>
      <c r="B3" s="4">
        <v>45323</v>
      </c>
      <c r="C3" t="s">
        <v>109</v>
      </c>
      <c r="D3" t="s">
        <v>64</v>
      </c>
      <c r="E3" s="2">
        <v>0</v>
      </c>
    </row>
    <row r="4" spans="1:5" x14ac:dyDescent="0.25">
      <c r="A4">
        <v>2024</v>
      </c>
      <c r="B4" s="4">
        <v>45352</v>
      </c>
      <c r="C4" t="s">
        <v>109</v>
      </c>
      <c r="D4" t="s">
        <v>64</v>
      </c>
      <c r="E4" s="2">
        <v>412000</v>
      </c>
    </row>
    <row r="5" spans="1:5" x14ac:dyDescent="0.25">
      <c r="A5">
        <v>2024</v>
      </c>
      <c r="B5" s="4">
        <v>45383</v>
      </c>
      <c r="C5" t="s">
        <v>109</v>
      </c>
      <c r="D5" t="s">
        <v>64</v>
      </c>
      <c r="E5" s="2">
        <v>83000</v>
      </c>
    </row>
    <row r="6" spans="1:5" x14ac:dyDescent="0.25">
      <c r="A6">
        <v>2024</v>
      </c>
      <c r="B6" s="4">
        <v>45413</v>
      </c>
      <c r="C6" t="s">
        <v>109</v>
      </c>
      <c r="D6" t="s">
        <v>64</v>
      </c>
      <c r="E6" s="2">
        <v>143000</v>
      </c>
    </row>
    <row r="7" spans="1:5" x14ac:dyDescent="0.25">
      <c r="A7">
        <v>2024</v>
      </c>
      <c r="B7" s="4">
        <v>45444</v>
      </c>
      <c r="C7" t="s">
        <v>109</v>
      </c>
      <c r="D7" t="s">
        <v>64</v>
      </c>
      <c r="E7" s="2">
        <v>250000</v>
      </c>
    </row>
    <row r="8" spans="1:5" x14ac:dyDescent="0.25">
      <c r="A8">
        <v>2024</v>
      </c>
      <c r="B8" s="4">
        <v>45474</v>
      </c>
      <c r="C8" t="s">
        <v>109</v>
      </c>
      <c r="D8" t="s">
        <v>64</v>
      </c>
      <c r="E8" s="2">
        <v>293837.27</v>
      </c>
    </row>
    <row r="9" spans="1:5" x14ac:dyDescent="0.25">
      <c r="A9">
        <v>2024</v>
      </c>
      <c r="B9" s="4">
        <v>45505</v>
      </c>
      <c r="C9" t="s">
        <v>109</v>
      </c>
      <c r="D9" t="s">
        <v>64</v>
      </c>
      <c r="E9" s="2">
        <v>48000</v>
      </c>
    </row>
    <row r="10" spans="1:5" x14ac:dyDescent="0.25">
      <c r="A10">
        <v>2024</v>
      </c>
      <c r="B10" s="4">
        <v>45536</v>
      </c>
      <c r="C10" t="s">
        <v>109</v>
      </c>
      <c r="D10" t="s">
        <v>64</v>
      </c>
      <c r="E10" s="2">
        <v>67000</v>
      </c>
    </row>
    <row r="11" spans="1:5" x14ac:dyDescent="0.25">
      <c r="A11">
        <v>2024</v>
      </c>
      <c r="B11" s="4">
        <v>45566</v>
      </c>
      <c r="C11" t="s">
        <v>109</v>
      </c>
      <c r="D11" t="s">
        <v>64</v>
      </c>
      <c r="E11" s="2">
        <v>71982.899999999994</v>
      </c>
    </row>
    <row r="12" spans="1:5" x14ac:dyDescent="0.25">
      <c r="A12">
        <v>2024</v>
      </c>
      <c r="B12" s="4">
        <v>45597</v>
      </c>
      <c r="C12" t="s">
        <v>109</v>
      </c>
      <c r="D12" t="s">
        <v>64</v>
      </c>
      <c r="E12" s="2">
        <v>0</v>
      </c>
    </row>
    <row r="13" spans="1:5" x14ac:dyDescent="0.25">
      <c r="A13">
        <v>2024</v>
      </c>
      <c r="B13" s="4">
        <v>45627</v>
      </c>
      <c r="C13" t="s">
        <v>109</v>
      </c>
      <c r="D13" t="s">
        <v>64</v>
      </c>
      <c r="E13" s="2">
        <v>135000</v>
      </c>
    </row>
    <row r="14" spans="1:5" x14ac:dyDescent="0.25">
      <c r="A14">
        <v>2024</v>
      </c>
      <c r="B14" s="4">
        <v>45292</v>
      </c>
      <c r="C14" t="s">
        <v>109</v>
      </c>
      <c r="D14" t="s">
        <v>47</v>
      </c>
      <c r="E14" s="2">
        <v>0</v>
      </c>
    </row>
    <row r="15" spans="1:5" x14ac:dyDescent="0.25">
      <c r="A15">
        <v>2024</v>
      </c>
      <c r="B15" s="4">
        <v>45323</v>
      </c>
      <c r="C15" t="s">
        <v>109</v>
      </c>
      <c r="D15" t="s">
        <v>47</v>
      </c>
      <c r="E15" s="2">
        <v>0</v>
      </c>
    </row>
    <row r="16" spans="1:5" x14ac:dyDescent="0.25">
      <c r="A16">
        <v>2024</v>
      </c>
      <c r="B16" s="4">
        <v>45352</v>
      </c>
      <c r="C16" t="s">
        <v>109</v>
      </c>
      <c r="D16" t="s">
        <v>47</v>
      </c>
      <c r="E16" s="2">
        <v>0</v>
      </c>
    </row>
    <row r="17" spans="1:5" x14ac:dyDescent="0.25">
      <c r="A17">
        <v>2024</v>
      </c>
      <c r="B17" s="4">
        <v>45383</v>
      </c>
      <c r="C17" t="s">
        <v>109</v>
      </c>
      <c r="D17" t="s">
        <v>47</v>
      </c>
      <c r="E17" s="2">
        <v>3526.29</v>
      </c>
    </row>
    <row r="18" spans="1:5" x14ac:dyDescent="0.25">
      <c r="A18">
        <v>2024</v>
      </c>
      <c r="B18" s="4">
        <v>45413</v>
      </c>
      <c r="C18" t="s">
        <v>109</v>
      </c>
      <c r="D18" t="s">
        <v>47</v>
      </c>
      <c r="E18" s="2">
        <v>0</v>
      </c>
    </row>
    <row r="19" spans="1:5" x14ac:dyDescent="0.25">
      <c r="A19">
        <v>2024</v>
      </c>
      <c r="B19" s="4">
        <v>45444</v>
      </c>
      <c r="C19" t="s">
        <v>109</v>
      </c>
      <c r="D19" t="s">
        <v>47</v>
      </c>
      <c r="E19" s="2">
        <v>0</v>
      </c>
    </row>
    <row r="20" spans="1:5" x14ac:dyDescent="0.25">
      <c r="A20">
        <v>2024</v>
      </c>
      <c r="B20" s="4">
        <v>45474</v>
      </c>
      <c r="C20" t="s">
        <v>109</v>
      </c>
      <c r="D20" t="s">
        <v>47</v>
      </c>
      <c r="E20" s="2">
        <v>0</v>
      </c>
    </row>
    <row r="21" spans="1:5" x14ac:dyDescent="0.25">
      <c r="A21">
        <v>2024</v>
      </c>
      <c r="B21" s="4">
        <v>45505</v>
      </c>
      <c r="C21" t="s">
        <v>109</v>
      </c>
      <c r="D21" t="s">
        <v>47</v>
      </c>
      <c r="E21" s="2">
        <v>0</v>
      </c>
    </row>
    <row r="22" spans="1:5" x14ac:dyDescent="0.25">
      <c r="A22">
        <v>2024</v>
      </c>
      <c r="B22" s="4">
        <v>45536</v>
      </c>
      <c r="C22" t="s">
        <v>109</v>
      </c>
      <c r="D22" t="s">
        <v>47</v>
      </c>
      <c r="E22" s="2">
        <v>0</v>
      </c>
    </row>
    <row r="23" spans="1:5" x14ac:dyDescent="0.25">
      <c r="A23">
        <v>2024</v>
      </c>
      <c r="B23" s="4">
        <v>45566</v>
      </c>
      <c r="C23" t="s">
        <v>109</v>
      </c>
      <c r="D23" t="s">
        <v>47</v>
      </c>
      <c r="E23" s="2">
        <v>0</v>
      </c>
    </row>
    <row r="24" spans="1:5" x14ac:dyDescent="0.25">
      <c r="A24">
        <v>2024</v>
      </c>
      <c r="B24" s="4">
        <v>45597</v>
      </c>
      <c r="C24" t="s">
        <v>109</v>
      </c>
      <c r="D24" t="s">
        <v>47</v>
      </c>
      <c r="E24" s="2">
        <v>0</v>
      </c>
    </row>
    <row r="25" spans="1:5" x14ac:dyDescent="0.25">
      <c r="A25">
        <v>2024</v>
      </c>
      <c r="B25" s="4">
        <v>45627</v>
      </c>
      <c r="C25" t="s">
        <v>109</v>
      </c>
      <c r="D25" t="s">
        <v>47</v>
      </c>
      <c r="E25" s="2">
        <v>0</v>
      </c>
    </row>
    <row r="26" spans="1:5" x14ac:dyDescent="0.25">
      <c r="A26">
        <v>2024</v>
      </c>
      <c r="B26" s="4">
        <v>45292</v>
      </c>
      <c r="C26" t="s">
        <v>110</v>
      </c>
      <c r="D26" t="s">
        <v>35</v>
      </c>
      <c r="E26" s="2">
        <v>2962.65</v>
      </c>
    </row>
    <row r="27" spans="1:5" x14ac:dyDescent="0.25">
      <c r="A27">
        <v>2024</v>
      </c>
      <c r="B27" s="4">
        <v>45323</v>
      </c>
      <c r="C27" t="s">
        <v>110</v>
      </c>
      <c r="D27" t="s">
        <v>35</v>
      </c>
      <c r="E27" s="2">
        <v>3462.65</v>
      </c>
    </row>
    <row r="28" spans="1:5" x14ac:dyDescent="0.25">
      <c r="A28">
        <v>2024</v>
      </c>
      <c r="B28" s="4">
        <v>45352</v>
      </c>
      <c r="C28" t="s">
        <v>110</v>
      </c>
      <c r="D28" t="s">
        <v>35</v>
      </c>
      <c r="E28" s="2">
        <v>3462.65</v>
      </c>
    </row>
    <row r="29" spans="1:5" x14ac:dyDescent="0.25">
      <c r="A29">
        <v>2024</v>
      </c>
      <c r="B29" s="4">
        <v>45383</v>
      </c>
      <c r="C29" t="s">
        <v>110</v>
      </c>
      <c r="D29" t="s">
        <v>35</v>
      </c>
      <c r="E29" s="2">
        <v>6057.48</v>
      </c>
    </row>
    <row r="30" spans="1:5" x14ac:dyDescent="0.25">
      <c r="A30">
        <v>2024</v>
      </c>
      <c r="B30" s="4">
        <v>45413</v>
      </c>
      <c r="C30" t="s">
        <v>110</v>
      </c>
      <c r="D30" t="s">
        <v>35</v>
      </c>
      <c r="E30" s="2">
        <v>7015.62</v>
      </c>
    </row>
    <row r="31" spans="1:5" x14ac:dyDescent="0.25">
      <c r="A31">
        <v>2024</v>
      </c>
      <c r="B31" s="4">
        <v>45444</v>
      </c>
      <c r="C31" t="s">
        <v>110</v>
      </c>
      <c r="D31" t="s">
        <v>35</v>
      </c>
      <c r="E31" s="2">
        <v>6971.44</v>
      </c>
    </row>
    <row r="32" spans="1:5" x14ac:dyDescent="0.25">
      <c r="A32">
        <v>2024</v>
      </c>
      <c r="B32" s="4">
        <v>45474</v>
      </c>
      <c r="C32" t="s">
        <v>110</v>
      </c>
      <c r="D32" t="s">
        <v>35</v>
      </c>
      <c r="E32" s="2">
        <v>6873.32</v>
      </c>
    </row>
    <row r="33" spans="1:5" x14ac:dyDescent="0.25">
      <c r="A33">
        <v>2024</v>
      </c>
      <c r="B33" s="4">
        <v>45505</v>
      </c>
      <c r="C33" t="s">
        <v>110</v>
      </c>
      <c r="D33" t="s">
        <v>35</v>
      </c>
      <c r="E33" s="2">
        <v>7018.03</v>
      </c>
    </row>
    <row r="34" spans="1:5" x14ac:dyDescent="0.25">
      <c r="A34">
        <v>2024</v>
      </c>
      <c r="B34" s="4">
        <v>45536</v>
      </c>
      <c r="C34" t="s">
        <v>110</v>
      </c>
      <c r="D34" t="s">
        <v>35</v>
      </c>
      <c r="E34" s="2">
        <v>7005.03</v>
      </c>
    </row>
    <row r="35" spans="1:5" x14ac:dyDescent="0.25">
      <c r="A35">
        <v>2024</v>
      </c>
      <c r="B35" s="4">
        <v>45566</v>
      </c>
      <c r="C35" t="s">
        <v>110</v>
      </c>
      <c r="D35" t="s">
        <v>35</v>
      </c>
      <c r="E35" s="2">
        <v>6974.44</v>
      </c>
    </row>
    <row r="36" spans="1:5" x14ac:dyDescent="0.25">
      <c r="A36">
        <v>2024</v>
      </c>
      <c r="B36" s="4">
        <v>45597</v>
      </c>
      <c r="C36" t="s">
        <v>110</v>
      </c>
      <c r="D36" t="s">
        <v>35</v>
      </c>
      <c r="E36" s="2">
        <v>7880.23</v>
      </c>
    </row>
    <row r="37" spans="1:5" x14ac:dyDescent="0.25">
      <c r="A37">
        <v>2024</v>
      </c>
      <c r="B37" s="4">
        <v>45627</v>
      </c>
      <c r="C37" t="s">
        <v>110</v>
      </c>
      <c r="D37" t="s">
        <v>35</v>
      </c>
      <c r="E37" s="2">
        <v>8365.73</v>
      </c>
    </row>
    <row r="38" spans="1:5" x14ac:dyDescent="0.25">
      <c r="A38">
        <v>2024</v>
      </c>
      <c r="B38" s="4">
        <v>45292</v>
      </c>
      <c r="C38" t="s">
        <v>110</v>
      </c>
      <c r="D38" t="s">
        <v>28</v>
      </c>
      <c r="E38" s="2">
        <v>1320</v>
      </c>
    </row>
    <row r="39" spans="1:5" x14ac:dyDescent="0.25">
      <c r="A39">
        <v>2024</v>
      </c>
      <c r="B39" s="4">
        <v>45323</v>
      </c>
      <c r="C39" t="s">
        <v>110</v>
      </c>
      <c r="D39" t="s">
        <v>28</v>
      </c>
      <c r="E39" s="2">
        <v>444</v>
      </c>
    </row>
    <row r="40" spans="1:5" x14ac:dyDescent="0.25">
      <c r="A40">
        <v>2024</v>
      </c>
      <c r="B40" s="4">
        <v>45352</v>
      </c>
      <c r="C40" t="s">
        <v>110</v>
      </c>
      <c r="D40" t="s">
        <v>28</v>
      </c>
      <c r="E40" s="2">
        <v>1624.8</v>
      </c>
    </row>
    <row r="41" spans="1:5" x14ac:dyDescent="0.25">
      <c r="A41">
        <v>2024</v>
      </c>
      <c r="B41" s="4">
        <v>45383</v>
      </c>
      <c r="C41" t="s">
        <v>110</v>
      </c>
      <c r="D41" t="s">
        <v>28</v>
      </c>
      <c r="E41" s="2">
        <v>2824</v>
      </c>
    </row>
    <row r="42" spans="1:5" x14ac:dyDescent="0.25">
      <c r="A42">
        <v>2024</v>
      </c>
      <c r="B42" s="4">
        <v>45413</v>
      </c>
      <c r="C42" t="s">
        <v>110</v>
      </c>
      <c r="D42" t="s">
        <v>28</v>
      </c>
      <c r="E42" s="2">
        <v>2824</v>
      </c>
    </row>
    <row r="43" spans="1:5" x14ac:dyDescent="0.25">
      <c r="A43">
        <v>2024</v>
      </c>
      <c r="B43" s="4">
        <v>45444</v>
      </c>
      <c r="C43" t="s">
        <v>110</v>
      </c>
      <c r="D43" t="s">
        <v>28</v>
      </c>
      <c r="E43" s="2">
        <v>2824</v>
      </c>
    </row>
    <row r="44" spans="1:5" x14ac:dyDescent="0.25">
      <c r="A44">
        <v>2024</v>
      </c>
      <c r="B44" s="4">
        <v>45474</v>
      </c>
      <c r="C44" t="s">
        <v>110</v>
      </c>
      <c r="D44" t="s">
        <v>28</v>
      </c>
      <c r="E44" s="2">
        <v>2824</v>
      </c>
    </row>
    <row r="45" spans="1:5" x14ac:dyDescent="0.25">
      <c r="A45">
        <v>2024</v>
      </c>
      <c r="B45" s="4">
        <v>45505</v>
      </c>
      <c r="C45" t="s">
        <v>110</v>
      </c>
      <c r="D45" t="s">
        <v>28</v>
      </c>
      <c r="E45" s="2">
        <v>2824</v>
      </c>
    </row>
    <row r="46" spans="1:5" x14ac:dyDescent="0.25">
      <c r="A46">
        <v>2024</v>
      </c>
      <c r="B46" s="4">
        <v>45536</v>
      </c>
      <c r="C46" t="s">
        <v>110</v>
      </c>
      <c r="D46" t="s">
        <v>28</v>
      </c>
      <c r="E46" s="2">
        <v>2824</v>
      </c>
    </row>
    <row r="47" spans="1:5" x14ac:dyDescent="0.25">
      <c r="A47">
        <v>2024</v>
      </c>
      <c r="B47" s="4">
        <v>45566</v>
      </c>
      <c r="C47" t="s">
        <v>110</v>
      </c>
      <c r="D47" t="s">
        <v>28</v>
      </c>
      <c r="E47" s="2">
        <v>2809</v>
      </c>
    </row>
    <row r="48" spans="1:5" x14ac:dyDescent="0.25">
      <c r="A48">
        <v>2024</v>
      </c>
      <c r="B48" s="4">
        <v>45597</v>
      </c>
      <c r="C48" t="s">
        <v>110</v>
      </c>
      <c r="D48" t="s">
        <v>28</v>
      </c>
      <c r="E48" s="2">
        <v>2824</v>
      </c>
    </row>
    <row r="49" spans="1:5" x14ac:dyDescent="0.25">
      <c r="A49">
        <v>2024</v>
      </c>
      <c r="B49" s="4">
        <v>45627</v>
      </c>
      <c r="C49" t="s">
        <v>110</v>
      </c>
      <c r="D49" t="s">
        <v>28</v>
      </c>
      <c r="E49" s="2">
        <v>2824</v>
      </c>
    </row>
    <row r="50" spans="1:5" x14ac:dyDescent="0.25">
      <c r="A50">
        <v>2024</v>
      </c>
      <c r="B50" s="4">
        <v>45292</v>
      </c>
      <c r="C50" t="s">
        <v>110</v>
      </c>
      <c r="D50" t="s">
        <v>40</v>
      </c>
      <c r="E50" s="2">
        <v>300</v>
      </c>
    </row>
    <row r="51" spans="1:5" x14ac:dyDescent="0.25">
      <c r="A51">
        <v>2024</v>
      </c>
      <c r="B51" s="4">
        <v>45323</v>
      </c>
      <c r="C51" t="s">
        <v>110</v>
      </c>
      <c r="D51" t="s">
        <v>40</v>
      </c>
      <c r="E51" s="2">
        <v>1680</v>
      </c>
    </row>
    <row r="52" spans="1:5" x14ac:dyDescent="0.25">
      <c r="A52">
        <v>2024</v>
      </c>
      <c r="B52" s="4">
        <v>45352</v>
      </c>
      <c r="C52" t="s">
        <v>110</v>
      </c>
      <c r="D52" t="s">
        <v>40</v>
      </c>
      <c r="E52" s="2">
        <v>3075</v>
      </c>
    </row>
    <row r="53" spans="1:5" x14ac:dyDescent="0.25">
      <c r="A53">
        <v>2024</v>
      </c>
      <c r="B53" s="4">
        <v>45383</v>
      </c>
      <c r="C53" t="s">
        <v>110</v>
      </c>
      <c r="D53" t="s">
        <v>40</v>
      </c>
      <c r="E53" s="2">
        <v>2625</v>
      </c>
    </row>
    <row r="54" spans="1:5" x14ac:dyDescent="0.25">
      <c r="A54">
        <v>2024</v>
      </c>
      <c r="B54" s="4">
        <v>45413</v>
      </c>
      <c r="C54" t="s">
        <v>110</v>
      </c>
      <c r="D54" t="s">
        <v>40</v>
      </c>
      <c r="E54" s="2">
        <v>2500</v>
      </c>
    </row>
    <row r="55" spans="1:5" x14ac:dyDescent="0.25">
      <c r="A55">
        <v>2024</v>
      </c>
      <c r="B55" s="4">
        <v>45444</v>
      </c>
      <c r="C55" t="s">
        <v>110</v>
      </c>
      <c r="D55" t="s">
        <v>40</v>
      </c>
      <c r="E55" s="2">
        <v>2875</v>
      </c>
    </row>
    <row r="56" spans="1:5" x14ac:dyDescent="0.25">
      <c r="A56">
        <v>2024</v>
      </c>
      <c r="B56" s="4">
        <v>45474</v>
      </c>
      <c r="C56" t="s">
        <v>110</v>
      </c>
      <c r="D56" t="s">
        <v>40</v>
      </c>
      <c r="E56" s="2">
        <v>2625</v>
      </c>
    </row>
    <row r="57" spans="1:5" x14ac:dyDescent="0.25">
      <c r="A57">
        <v>2024</v>
      </c>
      <c r="B57" s="4">
        <v>45505</v>
      </c>
      <c r="C57" t="s">
        <v>110</v>
      </c>
      <c r="D57" t="s">
        <v>40</v>
      </c>
      <c r="E57" s="2">
        <v>2100</v>
      </c>
    </row>
    <row r="58" spans="1:5" x14ac:dyDescent="0.25">
      <c r="A58">
        <v>2024</v>
      </c>
      <c r="B58" s="4">
        <v>45536</v>
      </c>
      <c r="C58" t="s">
        <v>110</v>
      </c>
      <c r="D58" t="s">
        <v>40</v>
      </c>
      <c r="E58" s="2">
        <v>2315</v>
      </c>
    </row>
    <row r="59" spans="1:5" x14ac:dyDescent="0.25">
      <c r="A59">
        <v>2024</v>
      </c>
      <c r="B59" s="4">
        <v>45566</v>
      </c>
      <c r="C59" t="s">
        <v>110</v>
      </c>
      <c r="D59" t="s">
        <v>40</v>
      </c>
      <c r="E59" s="2">
        <v>1900</v>
      </c>
    </row>
    <row r="60" spans="1:5" x14ac:dyDescent="0.25">
      <c r="A60">
        <v>2024</v>
      </c>
      <c r="B60" s="4">
        <v>45597</v>
      </c>
      <c r="C60" t="s">
        <v>110</v>
      </c>
      <c r="D60" t="s">
        <v>40</v>
      </c>
      <c r="E60" s="2">
        <v>1350</v>
      </c>
    </row>
    <row r="61" spans="1:5" x14ac:dyDescent="0.25">
      <c r="A61">
        <v>2024</v>
      </c>
      <c r="B61" s="4">
        <v>45627</v>
      </c>
      <c r="C61" t="s">
        <v>110</v>
      </c>
      <c r="D61" t="s">
        <v>40</v>
      </c>
      <c r="E61" s="2">
        <v>1650</v>
      </c>
    </row>
    <row r="62" spans="1:5" x14ac:dyDescent="0.25">
      <c r="A62">
        <v>2024</v>
      </c>
      <c r="B62" s="4">
        <v>45292</v>
      </c>
      <c r="C62" t="s">
        <v>110</v>
      </c>
      <c r="D62" t="s">
        <v>41</v>
      </c>
      <c r="E62" s="2">
        <v>496.7</v>
      </c>
    </row>
    <row r="63" spans="1:5" x14ac:dyDescent="0.25">
      <c r="A63">
        <v>2024</v>
      </c>
      <c r="B63" s="4">
        <v>45323</v>
      </c>
      <c r="C63" t="s">
        <v>110</v>
      </c>
      <c r="D63" t="s">
        <v>41</v>
      </c>
      <c r="E63" s="2">
        <v>975.2</v>
      </c>
    </row>
    <row r="64" spans="1:5" x14ac:dyDescent="0.25">
      <c r="A64">
        <v>2024</v>
      </c>
      <c r="B64" s="4">
        <v>45352</v>
      </c>
      <c r="C64" t="s">
        <v>110</v>
      </c>
      <c r="D64" t="s">
        <v>41</v>
      </c>
      <c r="E64" s="2">
        <v>1925.45</v>
      </c>
    </row>
    <row r="65" spans="1:5" x14ac:dyDescent="0.25">
      <c r="A65">
        <v>2024</v>
      </c>
      <c r="B65" s="4">
        <v>45383</v>
      </c>
      <c r="C65" t="s">
        <v>110</v>
      </c>
      <c r="D65" t="s">
        <v>41</v>
      </c>
      <c r="E65" s="2">
        <v>1657.35</v>
      </c>
    </row>
    <row r="66" spans="1:5" x14ac:dyDescent="0.25">
      <c r="A66">
        <v>2024</v>
      </c>
      <c r="B66" s="4">
        <v>45413</v>
      </c>
      <c r="C66" t="s">
        <v>110</v>
      </c>
      <c r="D66" t="s">
        <v>41</v>
      </c>
      <c r="E66" s="2">
        <v>1604</v>
      </c>
    </row>
    <row r="67" spans="1:5" x14ac:dyDescent="0.25">
      <c r="A67">
        <v>2024</v>
      </c>
      <c r="B67" s="4">
        <v>45444</v>
      </c>
      <c r="C67" t="s">
        <v>110</v>
      </c>
      <c r="D67" t="s">
        <v>41</v>
      </c>
      <c r="E67" s="2">
        <v>1753.55</v>
      </c>
    </row>
    <row r="68" spans="1:5" x14ac:dyDescent="0.25">
      <c r="A68">
        <v>2024</v>
      </c>
      <c r="B68" s="4">
        <v>45474</v>
      </c>
      <c r="C68" t="s">
        <v>110</v>
      </c>
      <c r="D68" t="s">
        <v>41</v>
      </c>
      <c r="E68" s="2">
        <v>1657.35</v>
      </c>
    </row>
    <row r="69" spans="1:5" x14ac:dyDescent="0.25">
      <c r="A69">
        <v>2024</v>
      </c>
      <c r="B69" s="4">
        <v>45505</v>
      </c>
      <c r="C69" t="s">
        <v>110</v>
      </c>
      <c r="D69" t="s">
        <v>41</v>
      </c>
      <c r="E69" s="2">
        <v>1452.1</v>
      </c>
    </row>
    <row r="70" spans="1:5" x14ac:dyDescent="0.25">
      <c r="A70">
        <v>2024</v>
      </c>
      <c r="B70" s="4">
        <v>45536</v>
      </c>
      <c r="C70" t="s">
        <v>110</v>
      </c>
      <c r="D70" t="s">
        <v>41</v>
      </c>
      <c r="E70" s="2">
        <v>1553.55</v>
      </c>
    </row>
    <row r="71" spans="1:5" x14ac:dyDescent="0.25">
      <c r="A71">
        <v>2024</v>
      </c>
      <c r="B71" s="4">
        <v>45566</v>
      </c>
      <c r="C71" t="s">
        <v>110</v>
      </c>
      <c r="D71" t="s">
        <v>41</v>
      </c>
      <c r="E71" s="2">
        <v>1355.9</v>
      </c>
    </row>
    <row r="72" spans="1:5" x14ac:dyDescent="0.25">
      <c r="A72">
        <v>2024</v>
      </c>
      <c r="B72" s="4">
        <v>45597</v>
      </c>
      <c r="C72" t="s">
        <v>110</v>
      </c>
      <c r="D72" t="s">
        <v>41</v>
      </c>
      <c r="E72" s="2">
        <v>1075.95</v>
      </c>
    </row>
    <row r="73" spans="1:5" x14ac:dyDescent="0.25">
      <c r="A73">
        <v>2024</v>
      </c>
      <c r="B73" s="4">
        <v>45627</v>
      </c>
      <c r="C73" t="s">
        <v>110</v>
      </c>
      <c r="D73" t="s">
        <v>41</v>
      </c>
      <c r="E73" s="2">
        <v>1227.2</v>
      </c>
    </row>
    <row r="74" spans="1:5" x14ac:dyDescent="0.25">
      <c r="A74">
        <v>2024</v>
      </c>
      <c r="B74" s="4">
        <v>45292</v>
      </c>
      <c r="C74" t="s">
        <v>110</v>
      </c>
      <c r="D74" t="s">
        <v>49</v>
      </c>
      <c r="E74" s="2">
        <v>1174.8</v>
      </c>
    </row>
    <row r="75" spans="1:5" x14ac:dyDescent="0.25">
      <c r="A75">
        <v>2024</v>
      </c>
      <c r="B75" s="4">
        <v>45323</v>
      </c>
      <c r="C75" t="s">
        <v>110</v>
      </c>
      <c r="D75" t="s">
        <v>49</v>
      </c>
      <c r="E75" s="2">
        <v>1256.68</v>
      </c>
    </row>
    <row r="76" spans="1:5" x14ac:dyDescent="0.25">
      <c r="A76">
        <v>2024</v>
      </c>
      <c r="B76" s="4">
        <v>45352</v>
      </c>
      <c r="C76" t="s">
        <v>110</v>
      </c>
      <c r="D76" t="s">
        <v>49</v>
      </c>
      <c r="E76" s="2">
        <v>1256.68</v>
      </c>
    </row>
    <row r="77" spans="1:5" x14ac:dyDescent="0.25">
      <c r="A77">
        <v>2024</v>
      </c>
      <c r="B77" s="4">
        <v>45383</v>
      </c>
      <c r="C77" t="s">
        <v>110</v>
      </c>
      <c r="D77" t="s">
        <v>49</v>
      </c>
      <c r="E77" s="2">
        <v>1256.68</v>
      </c>
    </row>
    <row r="78" spans="1:5" x14ac:dyDescent="0.25">
      <c r="A78">
        <v>2024</v>
      </c>
      <c r="B78" s="4">
        <v>45413</v>
      </c>
      <c r="C78" t="s">
        <v>110</v>
      </c>
      <c r="D78" t="s">
        <v>49</v>
      </c>
      <c r="E78" s="2">
        <v>1256.68</v>
      </c>
    </row>
    <row r="79" spans="1:5" x14ac:dyDescent="0.25">
      <c r="A79">
        <v>2024</v>
      </c>
      <c r="B79" s="4">
        <v>45444</v>
      </c>
      <c r="C79" t="s">
        <v>110</v>
      </c>
      <c r="D79" t="s">
        <v>49</v>
      </c>
      <c r="E79" s="2">
        <v>1256.68</v>
      </c>
    </row>
    <row r="80" spans="1:5" x14ac:dyDescent="0.25">
      <c r="A80">
        <v>2024</v>
      </c>
      <c r="B80" s="4">
        <v>45474</v>
      </c>
      <c r="C80" t="s">
        <v>110</v>
      </c>
      <c r="D80" t="s">
        <v>49</v>
      </c>
      <c r="E80" s="2">
        <v>1256.68</v>
      </c>
    </row>
    <row r="81" spans="1:5" x14ac:dyDescent="0.25">
      <c r="A81">
        <v>2024</v>
      </c>
      <c r="B81" s="4">
        <v>45505</v>
      </c>
      <c r="C81" t="s">
        <v>110</v>
      </c>
      <c r="D81" t="s">
        <v>49</v>
      </c>
      <c r="E81" s="2">
        <v>1256.68</v>
      </c>
    </row>
    <row r="82" spans="1:5" x14ac:dyDescent="0.25">
      <c r="A82">
        <v>2024</v>
      </c>
      <c r="B82" s="4">
        <v>45536</v>
      </c>
      <c r="C82" t="s">
        <v>110</v>
      </c>
      <c r="D82" t="s">
        <v>49</v>
      </c>
      <c r="E82" s="2">
        <v>1256.68</v>
      </c>
    </row>
    <row r="83" spans="1:5" x14ac:dyDescent="0.25">
      <c r="A83">
        <v>2024</v>
      </c>
      <c r="B83" s="4">
        <v>45566</v>
      </c>
      <c r="C83" t="s">
        <v>110</v>
      </c>
      <c r="D83" t="s">
        <v>49</v>
      </c>
      <c r="E83" s="2">
        <v>1256.68</v>
      </c>
    </row>
    <row r="84" spans="1:5" x14ac:dyDescent="0.25">
      <c r="A84">
        <v>2024</v>
      </c>
      <c r="B84" s="4">
        <v>45597</v>
      </c>
      <c r="C84" t="s">
        <v>110</v>
      </c>
      <c r="D84" t="s">
        <v>49</v>
      </c>
      <c r="E84" s="2">
        <v>1256.68</v>
      </c>
    </row>
    <row r="85" spans="1:5" x14ac:dyDescent="0.25">
      <c r="A85">
        <v>2024</v>
      </c>
      <c r="B85" s="4">
        <v>45627</v>
      </c>
      <c r="C85" t="s">
        <v>110</v>
      </c>
      <c r="D85" t="s">
        <v>49</v>
      </c>
      <c r="E85" s="2">
        <v>1256.68</v>
      </c>
    </row>
    <row r="86" spans="1:5" x14ac:dyDescent="0.25">
      <c r="A86">
        <v>2024</v>
      </c>
      <c r="B86" s="4">
        <v>45292</v>
      </c>
      <c r="C86" t="s">
        <v>110</v>
      </c>
      <c r="D86" t="s">
        <v>24</v>
      </c>
      <c r="E86" s="2">
        <v>0</v>
      </c>
    </row>
    <row r="87" spans="1:5" x14ac:dyDescent="0.25">
      <c r="A87">
        <v>2024</v>
      </c>
      <c r="B87" s="4">
        <v>45323</v>
      </c>
      <c r="C87" t="s">
        <v>110</v>
      </c>
      <c r="D87" t="s">
        <v>24</v>
      </c>
      <c r="E87" s="2">
        <v>0</v>
      </c>
    </row>
    <row r="88" spans="1:5" x14ac:dyDescent="0.25">
      <c r="A88">
        <v>2024</v>
      </c>
      <c r="B88" s="4">
        <v>45352</v>
      </c>
      <c r="C88" t="s">
        <v>110</v>
      </c>
      <c r="D88" t="s">
        <v>24</v>
      </c>
      <c r="E88" s="2">
        <v>0</v>
      </c>
    </row>
    <row r="89" spans="1:5" x14ac:dyDescent="0.25">
      <c r="A89">
        <v>2024</v>
      </c>
      <c r="B89" s="4">
        <v>45383</v>
      </c>
      <c r="C89" t="s">
        <v>110</v>
      </c>
      <c r="D89" t="s">
        <v>24</v>
      </c>
      <c r="E89" s="2">
        <v>0</v>
      </c>
    </row>
    <row r="90" spans="1:5" x14ac:dyDescent="0.25">
      <c r="A90">
        <v>2024</v>
      </c>
      <c r="B90" s="4">
        <v>45413</v>
      </c>
      <c r="C90" t="s">
        <v>110</v>
      </c>
      <c r="D90" t="s">
        <v>24</v>
      </c>
      <c r="E90" s="2">
        <v>8591.5499999999993</v>
      </c>
    </row>
    <row r="91" spans="1:5" x14ac:dyDescent="0.25">
      <c r="A91">
        <v>2024</v>
      </c>
      <c r="B91" s="4">
        <v>45444</v>
      </c>
      <c r="C91" t="s">
        <v>110</v>
      </c>
      <c r="D91" t="s">
        <v>24</v>
      </c>
      <c r="E91" s="2">
        <v>0</v>
      </c>
    </row>
    <row r="92" spans="1:5" x14ac:dyDescent="0.25">
      <c r="A92">
        <v>2024</v>
      </c>
      <c r="B92" s="4">
        <v>45474</v>
      </c>
      <c r="C92" t="s">
        <v>110</v>
      </c>
      <c r="D92" t="s">
        <v>24</v>
      </c>
      <c r="E92" s="2">
        <v>0</v>
      </c>
    </row>
    <row r="93" spans="1:5" x14ac:dyDescent="0.25">
      <c r="A93">
        <v>2024</v>
      </c>
      <c r="B93" s="4">
        <v>45505</v>
      </c>
      <c r="C93" t="s">
        <v>110</v>
      </c>
      <c r="D93" t="s">
        <v>24</v>
      </c>
      <c r="E93" s="2">
        <v>0</v>
      </c>
    </row>
    <row r="94" spans="1:5" x14ac:dyDescent="0.25">
      <c r="A94">
        <v>2024</v>
      </c>
      <c r="B94" s="4">
        <v>45536</v>
      </c>
      <c r="C94" t="s">
        <v>110</v>
      </c>
      <c r="D94" t="s">
        <v>24</v>
      </c>
      <c r="E94" s="2">
        <v>0</v>
      </c>
    </row>
    <row r="95" spans="1:5" x14ac:dyDescent="0.25">
      <c r="A95">
        <v>2024</v>
      </c>
      <c r="B95" s="4">
        <v>45566</v>
      </c>
      <c r="C95" t="s">
        <v>110</v>
      </c>
      <c r="D95" t="s">
        <v>24</v>
      </c>
      <c r="E95" s="2">
        <v>0</v>
      </c>
    </row>
    <row r="96" spans="1:5" x14ac:dyDescent="0.25">
      <c r="A96">
        <v>2024</v>
      </c>
      <c r="B96" s="4">
        <v>45597</v>
      </c>
      <c r="C96" t="s">
        <v>110</v>
      </c>
      <c r="D96" t="s">
        <v>24</v>
      </c>
      <c r="E96" s="2">
        <v>0</v>
      </c>
    </row>
    <row r="97" spans="1:5" x14ac:dyDescent="0.25">
      <c r="A97">
        <v>2024</v>
      </c>
      <c r="B97" s="4">
        <v>45627</v>
      </c>
      <c r="C97" t="s">
        <v>110</v>
      </c>
      <c r="D97" t="s">
        <v>24</v>
      </c>
      <c r="E97" s="2">
        <v>0</v>
      </c>
    </row>
    <row r="98" spans="1:5" x14ac:dyDescent="0.25">
      <c r="A98">
        <v>2024</v>
      </c>
      <c r="B98" s="4">
        <v>45292</v>
      </c>
      <c r="C98" t="s">
        <v>110</v>
      </c>
      <c r="D98" t="s">
        <v>37</v>
      </c>
      <c r="E98" s="2">
        <v>0</v>
      </c>
    </row>
    <row r="99" spans="1:5" x14ac:dyDescent="0.25">
      <c r="A99">
        <v>2024</v>
      </c>
      <c r="B99" s="4">
        <v>45323</v>
      </c>
      <c r="C99" t="s">
        <v>110</v>
      </c>
      <c r="D99" t="s">
        <v>37</v>
      </c>
      <c r="E99" s="2">
        <v>0</v>
      </c>
    </row>
    <row r="100" spans="1:5" x14ac:dyDescent="0.25">
      <c r="A100">
        <v>2024</v>
      </c>
      <c r="B100" s="4">
        <v>45352</v>
      </c>
      <c r="C100" t="s">
        <v>110</v>
      </c>
      <c r="D100" t="s">
        <v>37</v>
      </c>
      <c r="E100" s="2">
        <v>0</v>
      </c>
    </row>
    <row r="101" spans="1:5" x14ac:dyDescent="0.25">
      <c r="A101">
        <v>2024</v>
      </c>
      <c r="B101" s="4">
        <v>45383</v>
      </c>
      <c r="C101" t="s">
        <v>110</v>
      </c>
      <c r="D101" t="s">
        <v>37</v>
      </c>
      <c r="E101" s="2">
        <v>369</v>
      </c>
    </row>
    <row r="102" spans="1:5" x14ac:dyDescent="0.25">
      <c r="A102">
        <v>2024</v>
      </c>
      <c r="B102" s="4">
        <v>45413</v>
      </c>
      <c r="C102" t="s">
        <v>110</v>
      </c>
      <c r="D102" t="s">
        <v>37</v>
      </c>
      <c r="E102" s="2">
        <v>1841.18</v>
      </c>
    </row>
    <row r="103" spans="1:5" x14ac:dyDescent="0.25">
      <c r="A103">
        <v>2024</v>
      </c>
      <c r="B103" s="4">
        <v>45444</v>
      </c>
      <c r="C103" t="s">
        <v>110</v>
      </c>
      <c r="D103" t="s">
        <v>37</v>
      </c>
      <c r="E103" s="2">
        <v>1841.18</v>
      </c>
    </row>
    <row r="104" spans="1:5" x14ac:dyDescent="0.25">
      <c r="A104">
        <v>2024</v>
      </c>
      <c r="B104" s="4">
        <v>45474</v>
      </c>
      <c r="C104" t="s">
        <v>110</v>
      </c>
      <c r="D104" t="s">
        <v>37</v>
      </c>
      <c r="E104" s="2">
        <v>1841.18</v>
      </c>
    </row>
    <row r="105" spans="1:5" x14ac:dyDescent="0.25">
      <c r="A105">
        <v>2024</v>
      </c>
      <c r="B105" s="4">
        <v>45505</v>
      </c>
      <c r="C105" t="s">
        <v>110</v>
      </c>
      <c r="D105" t="s">
        <v>37</v>
      </c>
      <c r="E105" s="2">
        <v>1841.18</v>
      </c>
    </row>
    <row r="106" spans="1:5" x14ac:dyDescent="0.25">
      <c r="A106">
        <v>2024</v>
      </c>
      <c r="B106" s="4">
        <v>45536</v>
      </c>
      <c r="C106" t="s">
        <v>110</v>
      </c>
      <c r="D106" t="s">
        <v>37</v>
      </c>
      <c r="E106" s="2">
        <v>0</v>
      </c>
    </row>
    <row r="107" spans="1:5" x14ac:dyDescent="0.25">
      <c r="A107">
        <v>2024</v>
      </c>
      <c r="B107" s="4">
        <v>45566</v>
      </c>
      <c r="C107" t="s">
        <v>110</v>
      </c>
      <c r="D107" t="s">
        <v>37</v>
      </c>
      <c r="E107" s="2">
        <v>0</v>
      </c>
    </row>
    <row r="108" spans="1:5" x14ac:dyDescent="0.25">
      <c r="A108">
        <v>2024</v>
      </c>
      <c r="B108" s="4">
        <v>45597</v>
      </c>
      <c r="C108" t="s">
        <v>110</v>
      </c>
      <c r="D108" t="s">
        <v>37</v>
      </c>
      <c r="E108" s="2">
        <v>0</v>
      </c>
    </row>
    <row r="109" spans="1:5" x14ac:dyDescent="0.25">
      <c r="A109">
        <v>2024</v>
      </c>
      <c r="B109" s="4">
        <v>45627</v>
      </c>
      <c r="C109" t="s">
        <v>110</v>
      </c>
      <c r="D109" t="s">
        <v>37</v>
      </c>
      <c r="E109" s="2">
        <v>0</v>
      </c>
    </row>
    <row r="110" spans="1:5" x14ac:dyDescent="0.25">
      <c r="A110">
        <v>2024</v>
      </c>
      <c r="B110" s="4">
        <v>45292</v>
      </c>
      <c r="C110" t="s">
        <v>110</v>
      </c>
      <c r="D110" t="s">
        <v>33</v>
      </c>
      <c r="E110" s="2">
        <v>409.2</v>
      </c>
    </row>
    <row r="111" spans="1:5" x14ac:dyDescent="0.25">
      <c r="A111">
        <v>2024</v>
      </c>
      <c r="B111" s="4">
        <v>45323</v>
      </c>
      <c r="C111" t="s">
        <v>110</v>
      </c>
      <c r="D111" t="s">
        <v>33</v>
      </c>
      <c r="E111" s="2">
        <v>437.72</v>
      </c>
    </row>
    <row r="112" spans="1:5" x14ac:dyDescent="0.25">
      <c r="A112">
        <v>2024</v>
      </c>
      <c r="B112" s="4">
        <v>45352</v>
      </c>
      <c r="C112" t="s">
        <v>110</v>
      </c>
      <c r="D112" t="s">
        <v>33</v>
      </c>
      <c r="E112" s="2">
        <v>0</v>
      </c>
    </row>
    <row r="113" spans="1:5" x14ac:dyDescent="0.25">
      <c r="A113">
        <v>2024</v>
      </c>
      <c r="B113" s="4">
        <v>45383</v>
      </c>
      <c r="C113" t="s">
        <v>110</v>
      </c>
      <c r="D113" t="s">
        <v>33</v>
      </c>
      <c r="E113" s="2">
        <v>0</v>
      </c>
    </row>
    <row r="114" spans="1:5" x14ac:dyDescent="0.25">
      <c r="A114">
        <v>2024</v>
      </c>
      <c r="B114" s="4">
        <v>45413</v>
      </c>
      <c r="C114" t="s">
        <v>110</v>
      </c>
      <c r="D114" t="s">
        <v>33</v>
      </c>
      <c r="E114" s="2">
        <v>1016.54</v>
      </c>
    </row>
    <row r="115" spans="1:5" x14ac:dyDescent="0.25">
      <c r="A115">
        <v>2024</v>
      </c>
      <c r="B115" s="4">
        <v>45444</v>
      </c>
      <c r="C115" t="s">
        <v>110</v>
      </c>
      <c r="D115" t="s">
        <v>33</v>
      </c>
      <c r="E115" s="2">
        <v>1016.54</v>
      </c>
    </row>
    <row r="116" spans="1:5" x14ac:dyDescent="0.25">
      <c r="A116">
        <v>2024</v>
      </c>
      <c r="B116" s="4">
        <v>45474</v>
      </c>
      <c r="C116" t="s">
        <v>110</v>
      </c>
      <c r="D116" t="s">
        <v>33</v>
      </c>
      <c r="E116" s="2">
        <v>1016.54</v>
      </c>
    </row>
    <row r="117" spans="1:5" x14ac:dyDescent="0.25">
      <c r="A117">
        <v>2024</v>
      </c>
      <c r="B117" s="4">
        <v>45505</v>
      </c>
      <c r="C117" t="s">
        <v>110</v>
      </c>
      <c r="D117" t="s">
        <v>33</v>
      </c>
      <c r="E117" s="2">
        <v>1016.54</v>
      </c>
    </row>
    <row r="118" spans="1:5" x14ac:dyDescent="0.25">
      <c r="A118">
        <v>2024</v>
      </c>
      <c r="B118" s="4">
        <v>45536</v>
      </c>
      <c r="C118" t="s">
        <v>110</v>
      </c>
      <c r="D118" t="s">
        <v>33</v>
      </c>
      <c r="E118" s="2">
        <v>846.21</v>
      </c>
    </row>
    <row r="119" spans="1:5" x14ac:dyDescent="0.25">
      <c r="A119">
        <v>2024</v>
      </c>
      <c r="B119" s="4">
        <v>45566</v>
      </c>
      <c r="C119" t="s">
        <v>110</v>
      </c>
      <c r="D119" t="s">
        <v>33</v>
      </c>
      <c r="E119" s="2">
        <v>437.72</v>
      </c>
    </row>
    <row r="120" spans="1:5" x14ac:dyDescent="0.25">
      <c r="A120">
        <v>2024</v>
      </c>
      <c r="B120" s="4">
        <v>45597</v>
      </c>
      <c r="C120" t="s">
        <v>110</v>
      </c>
      <c r="D120" t="s">
        <v>33</v>
      </c>
      <c r="E120" s="2">
        <v>437.72</v>
      </c>
    </row>
    <row r="121" spans="1:5" x14ac:dyDescent="0.25">
      <c r="A121">
        <v>2024</v>
      </c>
      <c r="B121" s="4">
        <v>45627</v>
      </c>
      <c r="C121" t="s">
        <v>110</v>
      </c>
      <c r="D121" t="s">
        <v>33</v>
      </c>
      <c r="E121" s="2">
        <v>437.72</v>
      </c>
    </row>
    <row r="122" spans="1:5" x14ac:dyDescent="0.25">
      <c r="A122">
        <v>2024</v>
      </c>
      <c r="B122" s="4">
        <v>45292</v>
      </c>
      <c r="C122" t="s">
        <v>110</v>
      </c>
      <c r="D122" t="s">
        <v>27</v>
      </c>
      <c r="E122" s="2">
        <v>0</v>
      </c>
    </row>
    <row r="123" spans="1:5" x14ac:dyDescent="0.25">
      <c r="A123">
        <v>2024</v>
      </c>
      <c r="B123" s="4">
        <v>45323</v>
      </c>
      <c r="C123" t="s">
        <v>110</v>
      </c>
      <c r="D123" t="s">
        <v>27</v>
      </c>
      <c r="E123" s="2">
        <v>0</v>
      </c>
    </row>
    <row r="124" spans="1:5" x14ac:dyDescent="0.25">
      <c r="A124">
        <v>2024</v>
      </c>
      <c r="B124" s="4">
        <v>45352</v>
      </c>
      <c r="C124" t="s">
        <v>110</v>
      </c>
      <c r="D124" t="s">
        <v>27</v>
      </c>
      <c r="E124" s="2">
        <v>0</v>
      </c>
    </row>
    <row r="125" spans="1:5" x14ac:dyDescent="0.25">
      <c r="A125">
        <v>2024</v>
      </c>
      <c r="B125" s="4">
        <v>45383</v>
      </c>
      <c r="C125" t="s">
        <v>110</v>
      </c>
      <c r="D125" t="s">
        <v>27</v>
      </c>
      <c r="E125" s="2">
        <v>0</v>
      </c>
    </row>
    <row r="126" spans="1:5" x14ac:dyDescent="0.25">
      <c r="A126">
        <v>2024</v>
      </c>
      <c r="B126" s="4">
        <v>45413</v>
      </c>
      <c r="C126" t="s">
        <v>110</v>
      </c>
      <c r="D126" t="s">
        <v>27</v>
      </c>
      <c r="E126" s="2">
        <v>0</v>
      </c>
    </row>
    <row r="127" spans="1:5" x14ac:dyDescent="0.25">
      <c r="A127">
        <v>2024</v>
      </c>
      <c r="B127" s="4">
        <v>45444</v>
      </c>
      <c r="C127" t="s">
        <v>110</v>
      </c>
      <c r="D127" t="s">
        <v>27</v>
      </c>
      <c r="E127" s="2">
        <v>0</v>
      </c>
    </row>
    <row r="128" spans="1:5" x14ac:dyDescent="0.25">
      <c r="A128">
        <v>2024</v>
      </c>
      <c r="B128" s="4">
        <v>45474</v>
      </c>
      <c r="C128" t="s">
        <v>110</v>
      </c>
      <c r="D128" t="s">
        <v>27</v>
      </c>
      <c r="E128" s="2">
        <v>0</v>
      </c>
    </row>
    <row r="129" spans="1:5" x14ac:dyDescent="0.25">
      <c r="A129">
        <v>2024</v>
      </c>
      <c r="B129" s="4">
        <v>45505</v>
      </c>
      <c r="C129" t="s">
        <v>110</v>
      </c>
      <c r="D129" t="s">
        <v>27</v>
      </c>
      <c r="E129" s="2">
        <v>0</v>
      </c>
    </row>
    <row r="130" spans="1:5" x14ac:dyDescent="0.25">
      <c r="A130">
        <v>2024</v>
      </c>
      <c r="B130" s="4">
        <v>45536</v>
      </c>
      <c r="C130" t="s">
        <v>110</v>
      </c>
      <c r="D130" t="s">
        <v>27</v>
      </c>
      <c r="E130" s="2">
        <v>0</v>
      </c>
    </row>
    <row r="131" spans="1:5" x14ac:dyDescent="0.25">
      <c r="A131">
        <v>2024</v>
      </c>
      <c r="B131" s="4">
        <v>45566</v>
      </c>
      <c r="C131" t="s">
        <v>110</v>
      </c>
      <c r="D131" t="s">
        <v>27</v>
      </c>
      <c r="E131" s="2">
        <v>0</v>
      </c>
    </row>
    <row r="132" spans="1:5" x14ac:dyDescent="0.25">
      <c r="A132">
        <v>2024</v>
      </c>
      <c r="B132" s="4">
        <v>45597</v>
      </c>
      <c r="C132" t="s">
        <v>110</v>
      </c>
      <c r="D132" t="s">
        <v>27</v>
      </c>
      <c r="E132" s="2">
        <v>3250</v>
      </c>
    </row>
    <row r="133" spans="1:5" x14ac:dyDescent="0.25">
      <c r="A133">
        <v>2024</v>
      </c>
      <c r="B133" s="4">
        <v>45627</v>
      </c>
      <c r="C133" t="s">
        <v>110</v>
      </c>
      <c r="D133" t="s">
        <v>27</v>
      </c>
      <c r="E133" s="2">
        <v>3666.67</v>
      </c>
    </row>
    <row r="134" spans="1:5" x14ac:dyDescent="0.25">
      <c r="A134">
        <v>2024</v>
      </c>
      <c r="B134" s="4">
        <v>45292</v>
      </c>
      <c r="C134" t="s">
        <v>110</v>
      </c>
      <c r="D134" t="s">
        <v>32</v>
      </c>
      <c r="E134" s="2">
        <v>0</v>
      </c>
    </row>
    <row r="135" spans="1:5" x14ac:dyDescent="0.25">
      <c r="A135">
        <v>2024</v>
      </c>
      <c r="B135" s="4">
        <v>45323</v>
      </c>
      <c r="C135" t="s">
        <v>110</v>
      </c>
      <c r="D135" t="s">
        <v>32</v>
      </c>
      <c r="E135" s="2">
        <v>0</v>
      </c>
    </row>
    <row r="136" spans="1:5" x14ac:dyDescent="0.25">
      <c r="A136">
        <v>2024</v>
      </c>
      <c r="B136" s="4">
        <v>45352</v>
      </c>
      <c r="C136" t="s">
        <v>110</v>
      </c>
      <c r="D136" t="s">
        <v>32</v>
      </c>
      <c r="E136" s="2">
        <v>0</v>
      </c>
    </row>
    <row r="137" spans="1:5" x14ac:dyDescent="0.25">
      <c r="A137">
        <v>2024</v>
      </c>
      <c r="B137" s="4">
        <v>45383</v>
      </c>
      <c r="C137" t="s">
        <v>110</v>
      </c>
      <c r="D137" t="s">
        <v>32</v>
      </c>
      <c r="E137" s="2">
        <v>0</v>
      </c>
    </row>
    <row r="138" spans="1:5" x14ac:dyDescent="0.25">
      <c r="A138">
        <v>2024</v>
      </c>
      <c r="B138" s="4">
        <v>45413</v>
      </c>
      <c r="C138" t="s">
        <v>110</v>
      </c>
      <c r="D138" t="s">
        <v>32</v>
      </c>
      <c r="E138" s="2">
        <v>0</v>
      </c>
    </row>
    <row r="139" spans="1:5" x14ac:dyDescent="0.25">
      <c r="A139">
        <v>2024</v>
      </c>
      <c r="B139" s="4">
        <v>45444</v>
      </c>
      <c r="C139" t="s">
        <v>110</v>
      </c>
      <c r="D139" t="s">
        <v>32</v>
      </c>
      <c r="E139" s="2">
        <v>0</v>
      </c>
    </row>
    <row r="140" spans="1:5" x14ac:dyDescent="0.25">
      <c r="A140">
        <v>2024</v>
      </c>
      <c r="B140" s="4">
        <v>45474</v>
      </c>
      <c r="C140" t="s">
        <v>110</v>
      </c>
      <c r="D140" t="s">
        <v>32</v>
      </c>
      <c r="E140" s="2">
        <v>0</v>
      </c>
    </row>
    <row r="141" spans="1:5" x14ac:dyDescent="0.25">
      <c r="A141">
        <v>2024</v>
      </c>
      <c r="B141" s="4">
        <v>45505</v>
      </c>
      <c r="C141" t="s">
        <v>110</v>
      </c>
      <c r="D141" t="s">
        <v>32</v>
      </c>
      <c r="E141" s="2">
        <v>4061.27</v>
      </c>
    </row>
    <row r="142" spans="1:5" x14ac:dyDescent="0.25">
      <c r="A142">
        <v>2024</v>
      </c>
      <c r="B142" s="4">
        <v>45536</v>
      </c>
      <c r="C142" t="s">
        <v>110</v>
      </c>
      <c r="D142" t="s">
        <v>32</v>
      </c>
      <c r="E142" s="2">
        <v>0</v>
      </c>
    </row>
    <row r="143" spans="1:5" x14ac:dyDescent="0.25">
      <c r="A143">
        <v>2024</v>
      </c>
      <c r="B143" s="4">
        <v>45566</v>
      </c>
      <c r="C143" t="s">
        <v>110</v>
      </c>
      <c r="D143" t="s">
        <v>32</v>
      </c>
      <c r="E143" s="2">
        <v>0</v>
      </c>
    </row>
    <row r="144" spans="1:5" x14ac:dyDescent="0.25">
      <c r="A144">
        <v>2024</v>
      </c>
      <c r="B144" s="4">
        <v>45597</v>
      </c>
      <c r="C144" t="s">
        <v>110</v>
      </c>
      <c r="D144" t="s">
        <v>32</v>
      </c>
      <c r="E144" s="2">
        <v>0</v>
      </c>
    </row>
    <row r="145" spans="1:5" x14ac:dyDescent="0.25">
      <c r="A145">
        <v>2024</v>
      </c>
      <c r="B145" s="4">
        <v>45627</v>
      </c>
      <c r="C145" t="s">
        <v>110</v>
      </c>
      <c r="D145" t="s">
        <v>32</v>
      </c>
      <c r="E145" s="2">
        <v>1600.27</v>
      </c>
    </row>
    <row r="146" spans="1:5" x14ac:dyDescent="0.25">
      <c r="A146">
        <v>2024</v>
      </c>
      <c r="B146" s="4">
        <v>45292</v>
      </c>
      <c r="C146" t="s">
        <v>110</v>
      </c>
      <c r="D146" t="s">
        <v>43</v>
      </c>
      <c r="E146" s="2">
        <v>0</v>
      </c>
    </row>
    <row r="147" spans="1:5" x14ac:dyDescent="0.25">
      <c r="A147">
        <v>2024</v>
      </c>
      <c r="B147" s="4">
        <v>45323</v>
      </c>
      <c r="C147" t="s">
        <v>110</v>
      </c>
      <c r="D147" t="s">
        <v>43</v>
      </c>
      <c r="E147" s="2">
        <v>4755</v>
      </c>
    </row>
    <row r="148" spans="1:5" x14ac:dyDescent="0.25">
      <c r="A148">
        <v>2024</v>
      </c>
      <c r="B148" s="4">
        <v>45352</v>
      </c>
      <c r="C148" t="s">
        <v>110</v>
      </c>
      <c r="D148" t="s">
        <v>43</v>
      </c>
      <c r="E148" s="2">
        <v>0</v>
      </c>
    </row>
    <row r="149" spans="1:5" x14ac:dyDescent="0.25">
      <c r="A149">
        <v>2024</v>
      </c>
      <c r="B149" s="4">
        <v>45383</v>
      </c>
      <c r="C149" t="s">
        <v>110</v>
      </c>
      <c r="D149" t="s">
        <v>43</v>
      </c>
      <c r="E149" s="2">
        <v>0</v>
      </c>
    </row>
    <row r="150" spans="1:5" x14ac:dyDescent="0.25">
      <c r="A150">
        <v>2024</v>
      </c>
      <c r="B150" s="4">
        <v>45413</v>
      </c>
      <c r="C150" t="s">
        <v>110</v>
      </c>
      <c r="D150" t="s">
        <v>43</v>
      </c>
      <c r="E150" s="2">
        <v>0</v>
      </c>
    </row>
    <row r="151" spans="1:5" x14ac:dyDescent="0.25">
      <c r="A151">
        <v>2024</v>
      </c>
      <c r="B151" s="4">
        <v>45444</v>
      </c>
      <c r="C151" t="s">
        <v>110</v>
      </c>
      <c r="D151" t="s">
        <v>43</v>
      </c>
      <c r="E151" s="2">
        <v>0</v>
      </c>
    </row>
    <row r="152" spans="1:5" x14ac:dyDescent="0.25">
      <c r="A152">
        <v>2024</v>
      </c>
      <c r="B152" s="4">
        <v>45474</v>
      </c>
      <c r="C152" t="s">
        <v>110</v>
      </c>
      <c r="D152" t="s">
        <v>43</v>
      </c>
      <c r="E152" s="2">
        <v>0</v>
      </c>
    </row>
    <row r="153" spans="1:5" x14ac:dyDescent="0.25">
      <c r="A153">
        <v>2024</v>
      </c>
      <c r="B153" s="4">
        <v>45505</v>
      </c>
      <c r="C153" t="s">
        <v>110</v>
      </c>
      <c r="D153" t="s">
        <v>43</v>
      </c>
      <c r="E153" s="2">
        <v>0</v>
      </c>
    </row>
    <row r="154" spans="1:5" x14ac:dyDescent="0.25">
      <c r="A154">
        <v>2024</v>
      </c>
      <c r="B154" s="4">
        <v>45536</v>
      </c>
      <c r="C154" t="s">
        <v>110</v>
      </c>
      <c r="D154" t="s">
        <v>43</v>
      </c>
      <c r="E154" s="2">
        <v>0</v>
      </c>
    </row>
    <row r="155" spans="1:5" x14ac:dyDescent="0.25">
      <c r="A155">
        <v>2024</v>
      </c>
      <c r="B155" s="4">
        <v>45566</v>
      </c>
      <c r="C155" t="s">
        <v>110</v>
      </c>
      <c r="D155" t="s">
        <v>43</v>
      </c>
      <c r="E155" s="2">
        <v>0</v>
      </c>
    </row>
    <row r="156" spans="1:5" x14ac:dyDescent="0.25">
      <c r="A156">
        <v>2024</v>
      </c>
      <c r="B156" s="4">
        <v>45597</v>
      </c>
      <c r="C156" t="s">
        <v>110</v>
      </c>
      <c r="D156" t="s">
        <v>43</v>
      </c>
      <c r="E156" s="2">
        <v>0</v>
      </c>
    </row>
    <row r="157" spans="1:5" x14ac:dyDescent="0.25">
      <c r="A157">
        <v>2024</v>
      </c>
      <c r="B157" s="4">
        <v>45627</v>
      </c>
      <c r="C157" t="s">
        <v>110</v>
      </c>
      <c r="D157" t="s">
        <v>43</v>
      </c>
      <c r="E157" s="2">
        <v>79.599999999999994</v>
      </c>
    </row>
    <row r="158" spans="1:5" x14ac:dyDescent="0.25">
      <c r="A158">
        <v>2024</v>
      </c>
      <c r="B158" s="4">
        <v>45292</v>
      </c>
      <c r="C158" t="s">
        <v>110</v>
      </c>
      <c r="D158" t="s">
        <v>60</v>
      </c>
      <c r="E158" s="2">
        <v>0</v>
      </c>
    </row>
    <row r="159" spans="1:5" x14ac:dyDescent="0.25">
      <c r="A159">
        <v>2024</v>
      </c>
      <c r="B159" s="4">
        <v>45323</v>
      </c>
      <c r="C159" t="s">
        <v>110</v>
      </c>
      <c r="D159" t="s">
        <v>60</v>
      </c>
      <c r="E159" s="2">
        <v>0</v>
      </c>
    </row>
    <row r="160" spans="1:5" x14ac:dyDescent="0.25">
      <c r="A160">
        <v>2024</v>
      </c>
      <c r="B160" s="4">
        <v>45352</v>
      </c>
      <c r="C160" t="s">
        <v>110</v>
      </c>
      <c r="D160" t="s">
        <v>60</v>
      </c>
      <c r="E160" s="2">
        <v>0</v>
      </c>
    </row>
    <row r="161" spans="1:5" x14ac:dyDescent="0.25">
      <c r="A161">
        <v>2024</v>
      </c>
      <c r="B161" s="4">
        <v>45383</v>
      </c>
      <c r="C161" t="s">
        <v>110</v>
      </c>
      <c r="D161" t="s">
        <v>60</v>
      </c>
      <c r="E161" s="2">
        <v>0</v>
      </c>
    </row>
    <row r="162" spans="1:5" x14ac:dyDescent="0.25">
      <c r="A162">
        <v>2024</v>
      </c>
      <c r="B162" s="4">
        <v>45413</v>
      </c>
      <c r="C162" t="s">
        <v>110</v>
      </c>
      <c r="D162" t="s">
        <v>60</v>
      </c>
      <c r="E162" s="2">
        <v>0</v>
      </c>
    </row>
    <row r="163" spans="1:5" x14ac:dyDescent="0.25">
      <c r="A163">
        <v>2024</v>
      </c>
      <c r="B163" s="4">
        <v>45444</v>
      </c>
      <c r="C163" t="s">
        <v>110</v>
      </c>
      <c r="D163" t="s">
        <v>60</v>
      </c>
      <c r="E163" s="2">
        <v>0</v>
      </c>
    </row>
    <row r="164" spans="1:5" x14ac:dyDescent="0.25">
      <c r="A164">
        <v>2024</v>
      </c>
      <c r="B164" s="4">
        <v>45474</v>
      </c>
      <c r="C164" t="s">
        <v>110</v>
      </c>
      <c r="D164" t="s">
        <v>60</v>
      </c>
      <c r="E164" s="2">
        <v>0</v>
      </c>
    </row>
    <row r="165" spans="1:5" x14ac:dyDescent="0.25">
      <c r="A165">
        <v>2024</v>
      </c>
      <c r="B165" s="4">
        <v>45505</v>
      </c>
      <c r="C165" t="s">
        <v>110</v>
      </c>
      <c r="D165" t="s">
        <v>60</v>
      </c>
      <c r="E165" s="2">
        <v>0</v>
      </c>
    </row>
    <row r="166" spans="1:5" x14ac:dyDescent="0.25">
      <c r="A166">
        <v>2024</v>
      </c>
      <c r="B166" s="4">
        <v>45536</v>
      </c>
      <c r="C166" t="s">
        <v>110</v>
      </c>
      <c r="D166" t="s">
        <v>60</v>
      </c>
      <c r="E166" s="2">
        <v>0</v>
      </c>
    </row>
    <row r="167" spans="1:5" x14ac:dyDescent="0.25">
      <c r="A167">
        <v>2024</v>
      </c>
      <c r="B167" s="4">
        <v>45566</v>
      </c>
      <c r="C167" t="s">
        <v>110</v>
      </c>
      <c r="D167" t="s">
        <v>60</v>
      </c>
      <c r="E167" s="2">
        <v>0</v>
      </c>
    </row>
    <row r="168" spans="1:5" x14ac:dyDescent="0.25">
      <c r="A168">
        <v>2024</v>
      </c>
      <c r="B168" s="4">
        <v>45597</v>
      </c>
      <c r="C168" t="s">
        <v>110</v>
      </c>
      <c r="D168" t="s">
        <v>60</v>
      </c>
      <c r="E168" s="2">
        <v>0</v>
      </c>
    </row>
    <row r="169" spans="1:5" x14ac:dyDescent="0.25">
      <c r="A169">
        <v>2024</v>
      </c>
      <c r="B169" s="4">
        <v>45627</v>
      </c>
      <c r="C169" t="s">
        <v>110</v>
      </c>
      <c r="D169" t="s">
        <v>60</v>
      </c>
      <c r="E169" s="2">
        <v>2000</v>
      </c>
    </row>
    <row r="170" spans="1:5" x14ac:dyDescent="0.25">
      <c r="A170">
        <v>2024</v>
      </c>
      <c r="B170" s="4">
        <v>45292</v>
      </c>
      <c r="C170" t="s">
        <v>110</v>
      </c>
      <c r="D170" t="s">
        <v>46</v>
      </c>
      <c r="E170" s="2">
        <v>1000</v>
      </c>
    </row>
    <row r="171" spans="1:5" x14ac:dyDescent="0.25">
      <c r="A171">
        <v>2024</v>
      </c>
      <c r="B171" s="4">
        <v>45323</v>
      </c>
      <c r="C171" t="s">
        <v>110</v>
      </c>
      <c r="D171" t="s">
        <v>46</v>
      </c>
      <c r="E171" s="2">
        <v>0</v>
      </c>
    </row>
    <row r="172" spans="1:5" x14ac:dyDescent="0.25">
      <c r="A172">
        <v>2024</v>
      </c>
      <c r="B172" s="4">
        <v>45352</v>
      </c>
      <c r="C172" t="s">
        <v>110</v>
      </c>
      <c r="D172" t="s">
        <v>46</v>
      </c>
      <c r="E172" s="2">
        <v>0</v>
      </c>
    </row>
    <row r="173" spans="1:5" x14ac:dyDescent="0.25">
      <c r="A173">
        <v>2024</v>
      </c>
      <c r="B173" s="4">
        <v>45383</v>
      </c>
      <c r="C173" t="s">
        <v>110</v>
      </c>
      <c r="D173" t="s">
        <v>46</v>
      </c>
      <c r="E173" s="2">
        <v>0</v>
      </c>
    </row>
    <row r="174" spans="1:5" x14ac:dyDescent="0.25">
      <c r="A174">
        <v>2024</v>
      </c>
      <c r="B174" s="4">
        <v>45413</v>
      </c>
      <c r="C174" t="s">
        <v>110</v>
      </c>
      <c r="D174" t="s">
        <v>46</v>
      </c>
      <c r="E174" s="2">
        <v>900</v>
      </c>
    </row>
    <row r="175" spans="1:5" x14ac:dyDescent="0.25">
      <c r="A175">
        <v>2024</v>
      </c>
      <c r="B175" s="4">
        <v>45444</v>
      </c>
      <c r="C175" t="s">
        <v>110</v>
      </c>
      <c r="D175" t="s">
        <v>46</v>
      </c>
      <c r="E175" s="2">
        <v>0</v>
      </c>
    </row>
    <row r="176" spans="1:5" x14ac:dyDescent="0.25">
      <c r="A176">
        <v>2024</v>
      </c>
      <c r="B176" s="4">
        <v>45474</v>
      </c>
      <c r="C176" t="s">
        <v>110</v>
      </c>
      <c r="D176" t="s">
        <v>46</v>
      </c>
      <c r="E176" s="2">
        <v>0</v>
      </c>
    </row>
    <row r="177" spans="1:5" x14ac:dyDescent="0.25">
      <c r="A177">
        <v>2024</v>
      </c>
      <c r="B177" s="4">
        <v>45505</v>
      </c>
      <c r="C177" t="s">
        <v>110</v>
      </c>
      <c r="D177" t="s">
        <v>46</v>
      </c>
      <c r="E177" s="2">
        <v>0</v>
      </c>
    </row>
    <row r="178" spans="1:5" x14ac:dyDescent="0.25">
      <c r="A178">
        <v>2024</v>
      </c>
      <c r="B178" s="4">
        <v>45536</v>
      </c>
      <c r="C178" t="s">
        <v>110</v>
      </c>
      <c r="D178" t="s">
        <v>46</v>
      </c>
      <c r="E178" s="2">
        <v>0</v>
      </c>
    </row>
    <row r="179" spans="1:5" x14ac:dyDescent="0.25">
      <c r="A179">
        <v>2024</v>
      </c>
      <c r="B179" s="4">
        <v>45566</v>
      </c>
      <c r="C179" t="s">
        <v>110</v>
      </c>
      <c r="D179" t="s">
        <v>46</v>
      </c>
      <c r="E179" s="2">
        <v>0</v>
      </c>
    </row>
    <row r="180" spans="1:5" x14ac:dyDescent="0.25">
      <c r="A180">
        <v>2024</v>
      </c>
      <c r="B180" s="4">
        <v>45597</v>
      </c>
      <c r="C180" t="s">
        <v>110</v>
      </c>
      <c r="D180" t="s">
        <v>46</v>
      </c>
      <c r="E180" s="2">
        <v>0</v>
      </c>
    </row>
    <row r="181" spans="1:5" x14ac:dyDescent="0.25">
      <c r="A181">
        <v>2024</v>
      </c>
      <c r="B181" s="4">
        <v>45627</v>
      </c>
      <c r="C181" t="s">
        <v>110</v>
      </c>
      <c r="D181" t="s">
        <v>46</v>
      </c>
      <c r="E181" s="2">
        <v>0</v>
      </c>
    </row>
    <row r="182" spans="1:5" x14ac:dyDescent="0.25">
      <c r="A182">
        <v>2024</v>
      </c>
      <c r="B182" s="4">
        <v>45292</v>
      </c>
      <c r="C182" t="s">
        <v>110</v>
      </c>
      <c r="D182" t="s">
        <v>25</v>
      </c>
      <c r="E182" s="2">
        <v>0</v>
      </c>
    </row>
    <row r="183" spans="1:5" x14ac:dyDescent="0.25">
      <c r="A183">
        <v>2024</v>
      </c>
      <c r="B183" s="4">
        <v>45323</v>
      </c>
      <c r="C183" t="s">
        <v>110</v>
      </c>
      <c r="D183" t="s">
        <v>25</v>
      </c>
      <c r="E183" s="2">
        <v>98.89</v>
      </c>
    </row>
    <row r="184" spans="1:5" x14ac:dyDescent="0.25">
      <c r="A184">
        <v>2024</v>
      </c>
      <c r="B184" s="4">
        <v>45352</v>
      </c>
      <c r="C184" t="s">
        <v>110</v>
      </c>
      <c r="D184" t="s">
        <v>25</v>
      </c>
      <c r="E184" s="2">
        <v>98.89</v>
      </c>
    </row>
    <row r="185" spans="1:5" x14ac:dyDescent="0.25">
      <c r="A185">
        <v>2024</v>
      </c>
      <c r="B185" s="4">
        <v>45383</v>
      </c>
      <c r="C185" t="s">
        <v>110</v>
      </c>
      <c r="D185" t="s">
        <v>25</v>
      </c>
      <c r="E185" s="2">
        <v>121.39</v>
      </c>
    </row>
    <row r="186" spans="1:5" x14ac:dyDescent="0.25">
      <c r="A186">
        <v>2024</v>
      </c>
      <c r="B186" s="4">
        <v>45413</v>
      </c>
      <c r="C186" t="s">
        <v>110</v>
      </c>
      <c r="D186" t="s">
        <v>25</v>
      </c>
      <c r="E186" s="2">
        <v>143.88999999999999</v>
      </c>
    </row>
    <row r="187" spans="1:5" x14ac:dyDescent="0.25">
      <c r="A187">
        <v>2024</v>
      </c>
      <c r="B187" s="4">
        <v>45444</v>
      </c>
      <c r="C187" t="s">
        <v>110</v>
      </c>
      <c r="D187" t="s">
        <v>25</v>
      </c>
      <c r="E187" s="2">
        <v>143.88999999999999</v>
      </c>
    </row>
    <row r="188" spans="1:5" x14ac:dyDescent="0.25">
      <c r="A188">
        <v>2024</v>
      </c>
      <c r="B188" s="4">
        <v>45474</v>
      </c>
      <c r="C188" t="s">
        <v>110</v>
      </c>
      <c r="D188" t="s">
        <v>25</v>
      </c>
      <c r="E188" s="2">
        <v>149.19999999999999</v>
      </c>
    </row>
    <row r="189" spans="1:5" x14ac:dyDescent="0.25">
      <c r="A189">
        <v>2024</v>
      </c>
      <c r="B189" s="4">
        <v>45505</v>
      </c>
      <c r="C189" t="s">
        <v>110</v>
      </c>
      <c r="D189" t="s">
        <v>25</v>
      </c>
      <c r="E189" s="2">
        <v>149.19999999999999</v>
      </c>
    </row>
    <row r="190" spans="1:5" x14ac:dyDescent="0.25">
      <c r="A190">
        <v>2024</v>
      </c>
      <c r="B190" s="4">
        <v>45536</v>
      </c>
      <c r="C190" t="s">
        <v>110</v>
      </c>
      <c r="D190" t="s">
        <v>25</v>
      </c>
      <c r="E190" s="2">
        <v>149.19999999999999</v>
      </c>
    </row>
    <row r="191" spans="1:5" x14ac:dyDescent="0.25">
      <c r="A191">
        <v>2024</v>
      </c>
      <c r="B191" s="4">
        <v>45566</v>
      </c>
      <c r="C191" t="s">
        <v>110</v>
      </c>
      <c r="D191" t="s">
        <v>25</v>
      </c>
      <c r="E191" s="2">
        <v>173.2</v>
      </c>
    </row>
    <row r="192" spans="1:5" x14ac:dyDescent="0.25">
      <c r="A192">
        <v>2024</v>
      </c>
      <c r="B192" s="4">
        <v>45597</v>
      </c>
      <c r="C192" t="s">
        <v>110</v>
      </c>
      <c r="D192" t="s">
        <v>25</v>
      </c>
      <c r="E192" s="2">
        <v>194.2</v>
      </c>
    </row>
    <row r="193" spans="1:5" x14ac:dyDescent="0.25">
      <c r="A193">
        <v>2024</v>
      </c>
      <c r="B193" s="4">
        <v>45627</v>
      </c>
      <c r="C193" t="s">
        <v>110</v>
      </c>
      <c r="D193" t="s">
        <v>25</v>
      </c>
      <c r="E193" s="2">
        <v>194.2</v>
      </c>
    </row>
    <row r="194" spans="1:5" x14ac:dyDescent="0.25">
      <c r="A194">
        <v>2024</v>
      </c>
      <c r="B194" s="4">
        <v>45292</v>
      </c>
      <c r="C194" t="s">
        <v>110</v>
      </c>
      <c r="D194" t="s">
        <v>61</v>
      </c>
      <c r="E194" s="2">
        <v>1320</v>
      </c>
    </row>
    <row r="195" spans="1:5" x14ac:dyDescent="0.25">
      <c r="A195">
        <v>2024</v>
      </c>
      <c r="B195" s="4">
        <v>45323</v>
      </c>
      <c r="C195" t="s">
        <v>110</v>
      </c>
      <c r="D195" t="s">
        <v>61</v>
      </c>
      <c r="E195" s="2">
        <v>0</v>
      </c>
    </row>
    <row r="196" spans="1:5" x14ac:dyDescent="0.25">
      <c r="A196">
        <v>2024</v>
      </c>
      <c r="B196" s="4">
        <v>45352</v>
      </c>
      <c r="C196" t="s">
        <v>110</v>
      </c>
      <c r="D196" t="s">
        <v>61</v>
      </c>
      <c r="E196" s="2">
        <v>0</v>
      </c>
    </row>
    <row r="197" spans="1:5" x14ac:dyDescent="0.25">
      <c r="A197">
        <v>2024</v>
      </c>
      <c r="B197" s="4">
        <v>45383</v>
      </c>
      <c r="C197" t="s">
        <v>110</v>
      </c>
      <c r="D197" t="s">
        <v>61</v>
      </c>
      <c r="E197" s="2">
        <v>1.1399999999999999</v>
      </c>
    </row>
    <row r="198" spans="1:5" x14ac:dyDescent="0.25">
      <c r="A198">
        <v>2024</v>
      </c>
      <c r="B198" s="4">
        <v>45413</v>
      </c>
      <c r="C198" t="s">
        <v>110</v>
      </c>
      <c r="D198" t="s">
        <v>61</v>
      </c>
      <c r="E198" s="2">
        <v>0</v>
      </c>
    </row>
    <row r="199" spans="1:5" x14ac:dyDescent="0.25">
      <c r="A199">
        <v>2024</v>
      </c>
      <c r="B199" s="4">
        <v>45444</v>
      </c>
      <c r="C199" t="s">
        <v>110</v>
      </c>
      <c r="D199" t="s">
        <v>61</v>
      </c>
      <c r="E199" s="2">
        <v>0</v>
      </c>
    </row>
    <row r="200" spans="1:5" x14ac:dyDescent="0.25">
      <c r="A200">
        <v>2024</v>
      </c>
      <c r="B200" s="4">
        <v>45474</v>
      </c>
      <c r="C200" t="s">
        <v>110</v>
      </c>
      <c r="D200" t="s">
        <v>61</v>
      </c>
      <c r="E200" s="2">
        <v>0</v>
      </c>
    </row>
    <row r="201" spans="1:5" x14ac:dyDescent="0.25">
      <c r="A201">
        <v>2024</v>
      </c>
      <c r="B201" s="4">
        <v>45505</v>
      </c>
      <c r="C201" t="s">
        <v>110</v>
      </c>
      <c r="D201" t="s">
        <v>61</v>
      </c>
      <c r="E201" s="2">
        <v>0</v>
      </c>
    </row>
    <row r="202" spans="1:5" x14ac:dyDescent="0.25">
      <c r="A202">
        <v>2024</v>
      </c>
      <c r="B202" s="4">
        <v>45536</v>
      </c>
      <c r="C202" t="s">
        <v>110</v>
      </c>
      <c r="D202" t="s">
        <v>61</v>
      </c>
      <c r="E202" s="2">
        <v>0</v>
      </c>
    </row>
    <row r="203" spans="1:5" x14ac:dyDescent="0.25">
      <c r="A203">
        <v>2024</v>
      </c>
      <c r="B203" s="4">
        <v>45566</v>
      </c>
      <c r="C203" t="s">
        <v>110</v>
      </c>
      <c r="D203" t="s">
        <v>61</v>
      </c>
      <c r="E203" s="2">
        <v>0</v>
      </c>
    </row>
    <row r="204" spans="1:5" x14ac:dyDescent="0.25">
      <c r="A204">
        <v>2024</v>
      </c>
      <c r="B204" s="4">
        <v>45597</v>
      </c>
      <c r="C204" t="s">
        <v>110</v>
      </c>
      <c r="D204" t="s">
        <v>61</v>
      </c>
      <c r="E204" s="2">
        <v>0</v>
      </c>
    </row>
    <row r="205" spans="1:5" x14ac:dyDescent="0.25">
      <c r="A205">
        <v>2024</v>
      </c>
      <c r="B205" s="4">
        <v>45627</v>
      </c>
      <c r="C205" t="s">
        <v>110</v>
      </c>
      <c r="D205" t="s">
        <v>61</v>
      </c>
      <c r="E205" s="2">
        <v>0</v>
      </c>
    </row>
    <row r="206" spans="1:5" x14ac:dyDescent="0.25">
      <c r="A206">
        <v>2024</v>
      </c>
      <c r="B206" s="4">
        <v>45292</v>
      </c>
      <c r="C206" t="s">
        <v>110</v>
      </c>
      <c r="D206" t="s">
        <v>31</v>
      </c>
      <c r="E206" s="2">
        <v>1320</v>
      </c>
    </row>
    <row r="207" spans="1:5" x14ac:dyDescent="0.25">
      <c r="A207">
        <v>2024</v>
      </c>
      <c r="B207" s="4">
        <v>45323</v>
      </c>
      <c r="C207" t="s">
        <v>110</v>
      </c>
      <c r="D207" t="s">
        <v>31</v>
      </c>
      <c r="E207" s="2">
        <v>0</v>
      </c>
    </row>
    <row r="208" spans="1:5" x14ac:dyDescent="0.25">
      <c r="A208">
        <v>2024</v>
      </c>
      <c r="B208" s="4">
        <v>45352</v>
      </c>
      <c r="C208" t="s">
        <v>110</v>
      </c>
      <c r="D208" t="s">
        <v>31</v>
      </c>
      <c r="E208" s="2">
        <v>0</v>
      </c>
    </row>
    <row r="209" spans="1:5" x14ac:dyDescent="0.25">
      <c r="A209">
        <v>2024</v>
      </c>
      <c r="B209" s="4">
        <v>45383</v>
      </c>
      <c r="C209" t="s">
        <v>110</v>
      </c>
      <c r="D209" t="s">
        <v>31</v>
      </c>
      <c r="E209" s="2">
        <v>0</v>
      </c>
    </row>
    <row r="210" spans="1:5" x14ac:dyDescent="0.25">
      <c r="A210">
        <v>2024</v>
      </c>
      <c r="B210" s="4">
        <v>45413</v>
      </c>
      <c r="C210" t="s">
        <v>110</v>
      </c>
      <c r="D210" t="s">
        <v>31</v>
      </c>
      <c r="E210" s="2">
        <v>0</v>
      </c>
    </row>
    <row r="211" spans="1:5" x14ac:dyDescent="0.25">
      <c r="A211">
        <v>2024</v>
      </c>
      <c r="B211" s="4">
        <v>45444</v>
      </c>
      <c r="C211" t="s">
        <v>110</v>
      </c>
      <c r="D211" t="s">
        <v>31</v>
      </c>
      <c r="E211" s="2">
        <v>0</v>
      </c>
    </row>
    <row r="212" spans="1:5" x14ac:dyDescent="0.25">
      <c r="A212">
        <v>2024</v>
      </c>
      <c r="B212" s="4">
        <v>45474</v>
      </c>
      <c r="C212" t="s">
        <v>110</v>
      </c>
      <c r="D212" t="s">
        <v>31</v>
      </c>
      <c r="E212" s="2">
        <v>0</v>
      </c>
    </row>
    <row r="213" spans="1:5" x14ac:dyDescent="0.25">
      <c r="A213">
        <v>2024</v>
      </c>
      <c r="B213" s="4">
        <v>45505</v>
      </c>
      <c r="C213" t="s">
        <v>110</v>
      </c>
      <c r="D213" t="s">
        <v>31</v>
      </c>
      <c r="E213" s="2">
        <v>0</v>
      </c>
    </row>
    <row r="214" spans="1:5" x14ac:dyDescent="0.25">
      <c r="A214">
        <v>2024</v>
      </c>
      <c r="B214" s="4">
        <v>45536</v>
      </c>
      <c r="C214" t="s">
        <v>110</v>
      </c>
      <c r="D214" t="s">
        <v>31</v>
      </c>
      <c r="E214" s="2">
        <v>0</v>
      </c>
    </row>
    <row r="215" spans="1:5" x14ac:dyDescent="0.25">
      <c r="A215">
        <v>2024</v>
      </c>
      <c r="B215" s="4">
        <v>45566</v>
      </c>
      <c r="C215" t="s">
        <v>110</v>
      </c>
      <c r="D215" t="s">
        <v>31</v>
      </c>
      <c r="E215" s="2">
        <v>0</v>
      </c>
    </row>
    <row r="216" spans="1:5" x14ac:dyDescent="0.25">
      <c r="A216">
        <v>2024</v>
      </c>
      <c r="B216" s="4">
        <v>45597</v>
      </c>
      <c r="C216" t="s">
        <v>110</v>
      </c>
      <c r="D216" t="s">
        <v>31</v>
      </c>
      <c r="E216" s="2">
        <v>0</v>
      </c>
    </row>
    <row r="217" spans="1:5" x14ac:dyDescent="0.25">
      <c r="A217">
        <v>2024</v>
      </c>
      <c r="B217" s="4">
        <v>45627</v>
      </c>
      <c r="C217" t="s">
        <v>110</v>
      </c>
      <c r="D217" t="s">
        <v>31</v>
      </c>
      <c r="E217" s="2">
        <v>0</v>
      </c>
    </row>
    <row r="218" spans="1:5" x14ac:dyDescent="0.25">
      <c r="A218">
        <v>2024</v>
      </c>
      <c r="B218" s="4">
        <v>45292</v>
      </c>
      <c r="C218" t="s">
        <v>110</v>
      </c>
      <c r="D218" t="s">
        <v>30</v>
      </c>
      <c r="E218" s="2">
        <v>0</v>
      </c>
    </row>
    <row r="219" spans="1:5" x14ac:dyDescent="0.25">
      <c r="A219">
        <v>2024</v>
      </c>
      <c r="B219" s="4">
        <v>45323</v>
      </c>
      <c r="C219" t="s">
        <v>110</v>
      </c>
      <c r="D219" t="s">
        <v>30</v>
      </c>
      <c r="E219" s="2">
        <v>0</v>
      </c>
    </row>
    <row r="220" spans="1:5" x14ac:dyDescent="0.25">
      <c r="A220">
        <v>2024</v>
      </c>
      <c r="B220" s="4">
        <v>45352</v>
      </c>
      <c r="C220" t="s">
        <v>110</v>
      </c>
      <c r="D220" t="s">
        <v>30</v>
      </c>
      <c r="E220" s="2">
        <v>0</v>
      </c>
    </row>
    <row r="221" spans="1:5" x14ac:dyDescent="0.25">
      <c r="A221">
        <v>2024</v>
      </c>
      <c r="B221" s="4">
        <v>45383</v>
      </c>
      <c r="C221" t="s">
        <v>110</v>
      </c>
      <c r="D221" t="s">
        <v>30</v>
      </c>
      <c r="E221" s="2">
        <v>0</v>
      </c>
    </row>
    <row r="222" spans="1:5" x14ac:dyDescent="0.25">
      <c r="A222">
        <v>2024</v>
      </c>
      <c r="B222" s="4">
        <v>45413</v>
      </c>
      <c r="C222" t="s">
        <v>110</v>
      </c>
      <c r="D222" t="s">
        <v>30</v>
      </c>
      <c r="E222" s="2">
        <v>160</v>
      </c>
    </row>
    <row r="223" spans="1:5" x14ac:dyDescent="0.25">
      <c r="A223">
        <v>2024</v>
      </c>
      <c r="B223" s="4">
        <v>45444</v>
      </c>
      <c r="C223" t="s">
        <v>110</v>
      </c>
      <c r="D223" t="s">
        <v>30</v>
      </c>
      <c r="E223" s="2">
        <v>160</v>
      </c>
    </row>
    <row r="224" spans="1:5" x14ac:dyDescent="0.25">
      <c r="A224">
        <v>2024</v>
      </c>
      <c r="B224" s="4">
        <v>45474</v>
      </c>
      <c r="C224" t="s">
        <v>110</v>
      </c>
      <c r="D224" t="s">
        <v>30</v>
      </c>
      <c r="E224" s="2">
        <v>160</v>
      </c>
    </row>
    <row r="225" spans="1:5" x14ac:dyDescent="0.25">
      <c r="A225">
        <v>2024</v>
      </c>
      <c r="B225" s="4">
        <v>45505</v>
      </c>
      <c r="C225" t="s">
        <v>110</v>
      </c>
      <c r="D225" t="s">
        <v>30</v>
      </c>
      <c r="E225" s="2">
        <v>814.02</v>
      </c>
    </row>
    <row r="226" spans="1:5" x14ac:dyDescent="0.25">
      <c r="A226">
        <v>2024</v>
      </c>
      <c r="B226" s="4">
        <v>45536</v>
      </c>
      <c r="C226" t="s">
        <v>110</v>
      </c>
      <c r="D226" t="s">
        <v>30</v>
      </c>
      <c r="E226" s="2">
        <v>0</v>
      </c>
    </row>
    <row r="227" spans="1:5" x14ac:dyDescent="0.25">
      <c r="A227">
        <v>2024</v>
      </c>
      <c r="B227" s="4">
        <v>45566</v>
      </c>
      <c r="C227" t="s">
        <v>110</v>
      </c>
      <c r="D227" t="s">
        <v>30</v>
      </c>
      <c r="E227" s="2">
        <v>0</v>
      </c>
    </row>
    <row r="228" spans="1:5" x14ac:dyDescent="0.25">
      <c r="A228">
        <v>2024</v>
      </c>
      <c r="B228" s="4">
        <v>45597</v>
      </c>
      <c r="C228" t="s">
        <v>110</v>
      </c>
      <c r="D228" t="s">
        <v>30</v>
      </c>
      <c r="E228" s="2">
        <v>0</v>
      </c>
    </row>
    <row r="229" spans="1:5" x14ac:dyDescent="0.25">
      <c r="A229">
        <v>2024</v>
      </c>
      <c r="B229" s="4">
        <v>45627</v>
      </c>
      <c r="C229" t="s">
        <v>110</v>
      </c>
      <c r="D229" t="s">
        <v>30</v>
      </c>
      <c r="E229" s="2">
        <v>0</v>
      </c>
    </row>
    <row r="230" spans="1:5" x14ac:dyDescent="0.25">
      <c r="A230">
        <v>2024</v>
      </c>
      <c r="B230" s="4">
        <v>45292</v>
      </c>
      <c r="C230" t="s">
        <v>110</v>
      </c>
      <c r="D230" t="s">
        <v>36</v>
      </c>
      <c r="E230" s="2">
        <v>0</v>
      </c>
    </row>
    <row r="231" spans="1:5" x14ac:dyDescent="0.25">
      <c r="A231">
        <v>2024</v>
      </c>
      <c r="B231" s="4">
        <v>45323</v>
      </c>
      <c r="C231" t="s">
        <v>110</v>
      </c>
      <c r="D231" t="s">
        <v>36</v>
      </c>
      <c r="E231" s="2">
        <v>390</v>
      </c>
    </row>
    <row r="232" spans="1:5" x14ac:dyDescent="0.25">
      <c r="A232">
        <v>2024</v>
      </c>
      <c r="B232" s="4">
        <v>45352</v>
      </c>
      <c r="C232" t="s">
        <v>110</v>
      </c>
      <c r="D232" t="s">
        <v>36</v>
      </c>
      <c r="E232" s="2">
        <v>390</v>
      </c>
    </row>
    <row r="233" spans="1:5" x14ac:dyDescent="0.25">
      <c r="A233">
        <v>2024</v>
      </c>
      <c r="B233" s="4">
        <v>45383</v>
      </c>
      <c r="C233" t="s">
        <v>110</v>
      </c>
      <c r="D233" t="s">
        <v>36</v>
      </c>
      <c r="E233" s="2">
        <v>0</v>
      </c>
    </row>
    <row r="234" spans="1:5" x14ac:dyDescent="0.25">
      <c r="A234">
        <v>2024</v>
      </c>
      <c r="B234" s="4">
        <v>45413</v>
      </c>
      <c r="C234" t="s">
        <v>110</v>
      </c>
      <c r="D234" t="s">
        <v>36</v>
      </c>
      <c r="E234" s="2">
        <v>0</v>
      </c>
    </row>
    <row r="235" spans="1:5" x14ac:dyDescent="0.25">
      <c r="A235">
        <v>2024</v>
      </c>
      <c r="B235" s="4">
        <v>45444</v>
      </c>
      <c r="C235" t="s">
        <v>110</v>
      </c>
      <c r="D235" t="s">
        <v>36</v>
      </c>
      <c r="E235" s="2">
        <v>0</v>
      </c>
    </row>
    <row r="236" spans="1:5" x14ac:dyDescent="0.25">
      <c r="A236">
        <v>2024</v>
      </c>
      <c r="B236" s="4">
        <v>45474</v>
      </c>
      <c r="C236" t="s">
        <v>110</v>
      </c>
      <c r="D236" t="s">
        <v>36</v>
      </c>
      <c r="E236" s="2">
        <v>0</v>
      </c>
    </row>
    <row r="237" spans="1:5" x14ac:dyDescent="0.25">
      <c r="A237">
        <v>2024</v>
      </c>
      <c r="B237" s="4">
        <v>45505</v>
      </c>
      <c r="C237" t="s">
        <v>110</v>
      </c>
      <c r="D237" t="s">
        <v>36</v>
      </c>
      <c r="E237" s="2">
        <v>0</v>
      </c>
    </row>
    <row r="238" spans="1:5" x14ac:dyDescent="0.25">
      <c r="A238">
        <v>2024</v>
      </c>
      <c r="B238" s="4">
        <v>45536</v>
      </c>
      <c r="C238" t="s">
        <v>110</v>
      </c>
      <c r="D238" t="s">
        <v>36</v>
      </c>
      <c r="E238" s="2">
        <v>0</v>
      </c>
    </row>
    <row r="239" spans="1:5" x14ac:dyDescent="0.25">
      <c r="A239">
        <v>2024</v>
      </c>
      <c r="B239" s="4">
        <v>45566</v>
      </c>
      <c r="C239" t="s">
        <v>110</v>
      </c>
      <c r="D239" t="s">
        <v>36</v>
      </c>
      <c r="E239" s="2">
        <v>0</v>
      </c>
    </row>
    <row r="240" spans="1:5" x14ac:dyDescent="0.25">
      <c r="A240">
        <v>2024</v>
      </c>
      <c r="B240" s="4">
        <v>45597</v>
      </c>
      <c r="C240" t="s">
        <v>110</v>
      </c>
      <c r="D240" t="s">
        <v>36</v>
      </c>
      <c r="E240" s="2">
        <v>0</v>
      </c>
    </row>
    <row r="241" spans="1:5" x14ac:dyDescent="0.25">
      <c r="A241">
        <v>2024</v>
      </c>
      <c r="B241" s="4">
        <v>45627</v>
      </c>
      <c r="C241" t="s">
        <v>110</v>
      </c>
      <c r="D241" t="s">
        <v>36</v>
      </c>
      <c r="E241" s="2">
        <v>0</v>
      </c>
    </row>
    <row r="242" spans="1:5" x14ac:dyDescent="0.25">
      <c r="A242">
        <v>2024</v>
      </c>
      <c r="B242" s="4">
        <v>45292</v>
      </c>
      <c r="C242" t="s">
        <v>110</v>
      </c>
      <c r="D242" t="s">
        <v>57</v>
      </c>
      <c r="E242" s="2">
        <v>0</v>
      </c>
    </row>
    <row r="243" spans="1:5" x14ac:dyDescent="0.25">
      <c r="A243">
        <v>2024</v>
      </c>
      <c r="B243" s="4">
        <v>45323</v>
      </c>
      <c r="C243" t="s">
        <v>110</v>
      </c>
      <c r="D243" t="s">
        <v>57</v>
      </c>
      <c r="E243" s="2">
        <v>0</v>
      </c>
    </row>
    <row r="244" spans="1:5" x14ac:dyDescent="0.25">
      <c r="A244">
        <v>2024</v>
      </c>
      <c r="B244" s="4">
        <v>45352</v>
      </c>
      <c r="C244" t="s">
        <v>110</v>
      </c>
      <c r="D244" t="s">
        <v>57</v>
      </c>
      <c r="E244" s="2">
        <v>0</v>
      </c>
    </row>
    <row r="245" spans="1:5" x14ac:dyDescent="0.25">
      <c r="A245">
        <v>2024</v>
      </c>
      <c r="B245" s="4">
        <v>45383</v>
      </c>
      <c r="C245" t="s">
        <v>110</v>
      </c>
      <c r="D245" t="s">
        <v>57</v>
      </c>
      <c r="E245" s="2">
        <v>0</v>
      </c>
    </row>
    <row r="246" spans="1:5" x14ac:dyDescent="0.25">
      <c r="A246">
        <v>2024</v>
      </c>
      <c r="B246" s="4">
        <v>45413</v>
      </c>
      <c r="C246" t="s">
        <v>110</v>
      </c>
      <c r="D246" t="s">
        <v>57</v>
      </c>
      <c r="E246" s="2">
        <v>0</v>
      </c>
    </row>
    <row r="247" spans="1:5" x14ac:dyDescent="0.25">
      <c r="A247">
        <v>2024</v>
      </c>
      <c r="B247" s="4">
        <v>45444</v>
      </c>
      <c r="C247" t="s">
        <v>110</v>
      </c>
      <c r="D247" t="s">
        <v>57</v>
      </c>
      <c r="E247" s="2">
        <v>380</v>
      </c>
    </row>
    <row r="248" spans="1:5" x14ac:dyDescent="0.25">
      <c r="A248">
        <v>2024</v>
      </c>
      <c r="B248" s="4">
        <v>45474</v>
      </c>
      <c r="C248" t="s">
        <v>110</v>
      </c>
      <c r="D248" t="s">
        <v>57</v>
      </c>
      <c r="E248" s="2">
        <v>0</v>
      </c>
    </row>
    <row r="249" spans="1:5" x14ac:dyDescent="0.25">
      <c r="A249">
        <v>2024</v>
      </c>
      <c r="B249" s="4">
        <v>45505</v>
      </c>
      <c r="C249" t="s">
        <v>110</v>
      </c>
      <c r="D249" t="s">
        <v>57</v>
      </c>
      <c r="E249" s="2">
        <v>0</v>
      </c>
    </row>
    <row r="250" spans="1:5" x14ac:dyDescent="0.25">
      <c r="A250">
        <v>2024</v>
      </c>
      <c r="B250" s="4">
        <v>45536</v>
      </c>
      <c r="C250" t="s">
        <v>110</v>
      </c>
      <c r="D250" t="s">
        <v>57</v>
      </c>
      <c r="E250" s="2">
        <v>58.8</v>
      </c>
    </row>
    <row r="251" spans="1:5" x14ac:dyDescent="0.25">
      <c r="A251">
        <v>2024</v>
      </c>
      <c r="B251" s="4">
        <v>45566</v>
      </c>
      <c r="C251" t="s">
        <v>110</v>
      </c>
      <c r="D251" t="s">
        <v>57</v>
      </c>
      <c r="E251" s="2">
        <v>0</v>
      </c>
    </row>
    <row r="252" spans="1:5" x14ac:dyDescent="0.25">
      <c r="A252">
        <v>2024</v>
      </c>
      <c r="B252" s="4">
        <v>45597</v>
      </c>
      <c r="C252" t="s">
        <v>110</v>
      </c>
      <c r="D252" t="s">
        <v>57</v>
      </c>
      <c r="E252" s="2">
        <v>0</v>
      </c>
    </row>
    <row r="253" spans="1:5" x14ac:dyDescent="0.25">
      <c r="A253">
        <v>2024</v>
      </c>
      <c r="B253" s="4">
        <v>45627</v>
      </c>
      <c r="C253" t="s">
        <v>110</v>
      </c>
      <c r="D253" t="s">
        <v>57</v>
      </c>
      <c r="E253" s="2">
        <v>0</v>
      </c>
    </row>
    <row r="254" spans="1:5" x14ac:dyDescent="0.25">
      <c r="A254">
        <v>2024</v>
      </c>
      <c r="B254" s="4">
        <v>45292</v>
      </c>
      <c r="C254" t="s">
        <v>110</v>
      </c>
      <c r="D254" t="s">
        <v>56</v>
      </c>
      <c r="E254" s="2">
        <v>0</v>
      </c>
    </row>
    <row r="255" spans="1:5" x14ac:dyDescent="0.25">
      <c r="A255">
        <v>2024</v>
      </c>
      <c r="B255" s="4">
        <v>45323</v>
      </c>
      <c r="C255" t="s">
        <v>110</v>
      </c>
      <c r="D255" t="s">
        <v>56</v>
      </c>
      <c r="E255" s="2">
        <v>0</v>
      </c>
    </row>
    <row r="256" spans="1:5" x14ac:dyDescent="0.25">
      <c r="A256">
        <v>2024</v>
      </c>
      <c r="B256" s="4">
        <v>45352</v>
      </c>
      <c r="C256" t="s">
        <v>110</v>
      </c>
      <c r="D256" t="s">
        <v>56</v>
      </c>
      <c r="E256" s="2">
        <v>0</v>
      </c>
    </row>
    <row r="257" spans="1:5" x14ac:dyDescent="0.25">
      <c r="A257">
        <v>2024</v>
      </c>
      <c r="B257" s="4">
        <v>45383</v>
      </c>
      <c r="C257" t="s">
        <v>110</v>
      </c>
      <c r="D257" t="s">
        <v>56</v>
      </c>
      <c r="E257" s="2">
        <v>0</v>
      </c>
    </row>
    <row r="258" spans="1:5" x14ac:dyDescent="0.25">
      <c r="A258">
        <v>2024</v>
      </c>
      <c r="B258" s="4">
        <v>45413</v>
      </c>
      <c r="C258" t="s">
        <v>110</v>
      </c>
      <c r="D258" t="s">
        <v>56</v>
      </c>
      <c r="E258" s="2">
        <v>0</v>
      </c>
    </row>
    <row r="259" spans="1:5" x14ac:dyDescent="0.25">
      <c r="A259">
        <v>2024</v>
      </c>
      <c r="B259" s="4">
        <v>45444</v>
      </c>
      <c r="C259" t="s">
        <v>110</v>
      </c>
      <c r="D259" t="s">
        <v>56</v>
      </c>
      <c r="E259" s="2">
        <v>420</v>
      </c>
    </row>
    <row r="260" spans="1:5" x14ac:dyDescent="0.25">
      <c r="A260">
        <v>2024</v>
      </c>
      <c r="B260" s="4">
        <v>45474</v>
      </c>
      <c r="C260" t="s">
        <v>110</v>
      </c>
      <c r="D260" t="s">
        <v>56</v>
      </c>
      <c r="E260" s="2">
        <v>0</v>
      </c>
    </row>
    <row r="261" spans="1:5" x14ac:dyDescent="0.25">
      <c r="A261">
        <v>2024</v>
      </c>
      <c r="B261" s="4">
        <v>45505</v>
      </c>
      <c r="C261" t="s">
        <v>110</v>
      </c>
      <c r="D261" t="s">
        <v>56</v>
      </c>
      <c r="E261" s="2">
        <v>0</v>
      </c>
    </row>
    <row r="262" spans="1:5" x14ac:dyDescent="0.25">
      <c r="A262">
        <v>2024</v>
      </c>
      <c r="B262" s="4">
        <v>45536</v>
      </c>
      <c r="C262" t="s">
        <v>110</v>
      </c>
      <c r="D262" t="s">
        <v>56</v>
      </c>
      <c r="E262" s="2">
        <v>0</v>
      </c>
    </row>
    <row r="263" spans="1:5" x14ac:dyDescent="0.25">
      <c r="A263">
        <v>2024</v>
      </c>
      <c r="B263" s="4">
        <v>45566</v>
      </c>
      <c r="C263" t="s">
        <v>110</v>
      </c>
      <c r="D263" t="s">
        <v>56</v>
      </c>
      <c r="E263" s="2">
        <v>0</v>
      </c>
    </row>
    <row r="264" spans="1:5" x14ac:dyDescent="0.25">
      <c r="A264">
        <v>2024</v>
      </c>
      <c r="B264" s="4">
        <v>45597</v>
      </c>
      <c r="C264" t="s">
        <v>110</v>
      </c>
      <c r="D264" t="s">
        <v>56</v>
      </c>
      <c r="E264" s="2">
        <v>0</v>
      </c>
    </row>
    <row r="265" spans="1:5" x14ac:dyDescent="0.25">
      <c r="A265">
        <v>2024</v>
      </c>
      <c r="B265" s="4">
        <v>45627</v>
      </c>
      <c r="C265" t="s">
        <v>110</v>
      </c>
      <c r="D265" t="s">
        <v>56</v>
      </c>
      <c r="E265" s="2">
        <v>0</v>
      </c>
    </row>
    <row r="266" spans="1:5" x14ac:dyDescent="0.25">
      <c r="A266">
        <v>2024</v>
      </c>
      <c r="B266" s="4">
        <v>45292</v>
      </c>
      <c r="C266" t="s">
        <v>110</v>
      </c>
      <c r="D266" t="s">
        <v>48</v>
      </c>
      <c r="E266" s="2">
        <v>0</v>
      </c>
    </row>
    <row r="267" spans="1:5" x14ac:dyDescent="0.25">
      <c r="A267">
        <v>2024</v>
      </c>
      <c r="B267" s="4">
        <v>45323</v>
      </c>
      <c r="C267" t="s">
        <v>110</v>
      </c>
      <c r="D267" t="s">
        <v>48</v>
      </c>
      <c r="E267" s="2">
        <v>359.1</v>
      </c>
    </row>
    <row r="268" spans="1:5" x14ac:dyDescent="0.25">
      <c r="A268">
        <v>2024</v>
      </c>
      <c r="B268" s="4">
        <v>45352</v>
      </c>
      <c r="C268" t="s">
        <v>110</v>
      </c>
      <c r="D268" t="s">
        <v>48</v>
      </c>
      <c r="E268" s="2">
        <v>0</v>
      </c>
    </row>
    <row r="269" spans="1:5" x14ac:dyDescent="0.25">
      <c r="A269">
        <v>2024</v>
      </c>
      <c r="B269" s="4">
        <v>45383</v>
      </c>
      <c r="C269" t="s">
        <v>110</v>
      </c>
      <c r="D269" t="s">
        <v>48</v>
      </c>
      <c r="E269" s="2">
        <v>0</v>
      </c>
    </row>
    <row r="270" spans="1:5" x14ac:dyDescent="0.25">
      <c r="A270">
        <v>2024</v>
      </c>
      <c r="B270" s="4">
        <v>45413</v>
      </c>
      <c r="C270" t="s">
        <v>110</v>
      </c>
      <c r="D270" t="s">
        <v>48</v>
      </c>
      <c r="E270" s="2">
        <v>0</v>
      </c>
    </row>
    <row r="271" spans="1:5" x14ac:dyDescent="0.25">
      <c r="A271">
        <v>2024</v>
      </c>
      <c r="B271" s="4">
        <v>45444</v>
      </c>
      <c r="C271" t="s">
        <v>110</v>
      </c>
      <c r="D271" t="s">
        <v>48</v>
      </c>
      <c r="E271" s="2">
        <v>0</v>
      </c>
    </row>
    <row r="272" spans="1:5" x14ac:dyDescent="0.25">
      <c r="A272">
        <v>2024</v>
      </c>
      <c r="B272" s="4">
        <v>45474</v>
      </c>
      <c r="C272" t="s">
        <v>110</v>
      </c>
      <c r="D272" t="s">
        <v>48</v>
      </c>
      <c r="E272" s="2">
        <v>0</v>
      </c>
    </row>
    <row r="273" spans="1:5" x14ac:dyDescent="0.25">
      <c r="A273">
        <v>2024</v>
      </c>
      <c r="B273" s="4">
        <v>45505</v>
      </c>
      <c r="C273" t="s">
        <v>110</v>
      </c>
      <c r="D273" t="s">
        <v>48</v>
      </c>
      <c r="E273" s="2">
        <v>0</v>
      </c>
    </row>
    <row r="274" spans="1:5" x14ac:dyDescent="0.25">
      <c r="A274">
        <v>2024</v>
      </c>
      <c r="B274" s="4">
        <v>45536</v>
      </c>
      <c r="C274" t="s">
        <v>110</v>
      </c>
      <c r="D274" t="s">
        <v>48</v>
      </c>
      <c r="E274" s="2">
        <v>0</v>
      </c>
    </row>
    <row r="275" spans="1:5" x14ac:dyDescent="0.25">
      <c r="A275">
        <v>2024</v>
      </c>
      <c r="B275" s="4">
        <v>45566</v>
      </c>
      <c r="C275" t="s">
        <v>110</v>
      </c>
      <c r="D275" t="s">
        <v>48</v>
      </c>
      <c r="E275" s="2">
        <v>0</v>
      </c>
    </row>
    <row r="276" spans="1:5" x14ac:dyDescent="0.25">
      <c r="A276">
        <v>2024</v>
      </c>
      <c r="B276" s="4">
        <v>45597</v>
      </c>
      <c r="C276" t="s">
        <v>110</v>
      </c>
      <c r="D276" t="s">
        <v>48</v>
      </c>
      <c r="E276" s="2">
        <v>0</v>
      </c>
    </row>
    <row r="277" spans="1:5" x14ac:dyDescent="0.25">
      <c r="A277">
        <v>2024</v>
      </c>
      <c r="B277" s="4">
        <v>45627</v>
      </c>
      <c r="C277" t="s">
        <v>110</v>
      </c>
      <c r="D277" t="s">
        <v>48</v>
      </c>
      <c r="E277" s="2">
        <v>0</v>
      </c>
    </row>
    <row r="278" spans="1:5" x14ac:dyDescent="0.25">
      <c r="A278">
        <v>2024</v>
      </c>
      <c r="B278" s="4">
        <v>45292</v>
      </c>
      <c r="C278" t="s">
        <v>110</v>
      </c>
      <c r="D278" t="s">
        <v>39</v>
      </c>
      <c r="E278" s="2">
        <v>12.74</v>
      </c>
    </row>
    <row r="279" spans="1:5" x14ac:dyDescent="0.25">
      <c r="A279">
        <v>2024</v>
      </c>
      <c r="B279" s="4">
        <v>45323</v>
      </c>
      <c r="C279" t="s">
        <v>110</v>
      </c>
      <c r="D279" t="s">
        <v>39</v>
      </c>
      <c r="E279" s="2">
        <v>29.24</v>
      </c>
    </row>
    <row r="280" spans="1:5" x14ac:dyDescent="0.25">
      <c r="A280">
        <v>2024</v>
      </c>
      <c r="B280" s="4">
        <v>45352</v>
      </c>
      <c r="C280" t="s">
        <v>110</v>
      </c>
      <c r="D280" t="s">
        <v>39</v>
      </c>
      <c r="E280" s="2">
        <v>29.24</v>
      </c>
    </row>
    <row r="281" spans="1:5" x14ac:dyDescent="0.25">
      <c r="A281">
        <v>2024</v>
      </c>
      <c r="B281" s="4">
        <v>45383</v>
      </c>
      <c r="C281" t="s">
        <v>110</v>
      </c>
      <c r="D281" t="s">
        <v>39</v>
      </c>
      <c r="E281" s="2">
        <v>29.24</v>
      </c>
    </row>
    <row r="282" spans="1:5" x14ac:dyDescent="0.25">
      <c r="A282">
        <v>2024</v>
      </c>
      <c r="B282" s="4">
        <v>45413</v>
      </c>
      <c r="C282" t="s">
        <v>110</v>
      </c>
      <c r="D282" t="s">
        <v>39</v>
      </c>
      <c r="E282" s="2">
        <v>29.24</v>
      </c>
    </row>
    <row r="283" spans="1:5" x14ac:dyDescent="0.25">
      <c r="A283">
        <v>2024</v>
      </c>
      <c r="B283" s="4">
        <v>45444</v>
      </c>
      <c r="C283" t="s">
        <v>110</v>
      </c>
      <c r="D283" t="s">
        <v>39</v>
      </c>
      <c r="E283" s="2">
        <v>29.24</v>
      </c>
    </row>
    <row r="284" spans="1:5" x14ac:dyDescent="0.25">
      <c r="A284">
        <v>2024</v>
      </c>
      <c r="B284" s="4">
        <v>45474</v>
      </c>
      <c r="C284" t="s">
        <v>110</v>
      </c>
      <c r="D284" t="s">
        <v>39</v>
      </c>
      <c r="E284" s="2">
        <v>29.24</v>
      </c>
    </row>
    <row r="285" spans="1:5" x14ac:dyDescent="0.25">
      <c r="A285">
        <v>2024</v>
      </c>
      <c r="B285" s="4">
        <v>45505</v>
      </c>
      <c r="C285" t="s">
        <v>110</v>
      </c>
      <c r="D285" t="s">
        <v>39</v>
      </c>
      <c r="E285" s="2">
        <v>29.24</v>
      </c>
    </row>
    <row r="286" spans="1:5" x14ac:dyDescent="0.25">
      <c r="A286">
        <v>2024</v>
      </c>
      <c r="B286" s="4">
        <v>45536</v>
      </c>
      <c r="C286" t="s">
        <v>110</v>
      </c>
      <c r="D286" t="s">
        <v>39</v>
      </c>
      <c r="E286" s="2">
        <v>29.24</v>
      </c>
    </row>
    <row r="287" spans="1:5" x14ac:dyDescent="0.25">
      <c r="A287">
        <v>2024</v>
      </c>
      <c r="B287" s="4">
        <v>45566</v>
      </c>
      <c r="C287" t="s">
        <v>110</v>
      </c>
      <c r="D287" t="s">
        <v>39</v>
      </c>
      <c r="E287" s="2">
        <v>29.24</v>
      </c>
    </row>
    <row r="288" spans="1:5" x14ac:dyDescent="0.25">
      <c r="A288">
        <v>2024</v>
      </c>
      <c r="B288" s="4">
        <v>45597</v>
      </c>
      <c r="C288" t="s">
        <v>110</v>
      </c>
      <c r="D288" t="s">
        <v>39</v>
      </c>
      <c r="E288" s="2">
        <v>29.24</v>
      </c>
    </row>
    <row r="289" spans="1:5" x14ac:dyDescent="0.25">
      <c r="A289">
        <v>2024</v>
      </c>
      <c r="B289" s="4">
        <v>45627</v>
      </c>
      <c r="C289" t="s">
        <v>110</v>
      </c>
      <c r="D289" t="s">
        <v>39</v>
      </c>
      <c r="E289" s="2">
        <v>29.82</v>
      </c>
    </row>
    <row r="290" spans="1:5" x14ac:dyDescent="0.25">
      <c r="A290">
        <v>2024</v>
      </c>
      <c r="B290" s="4">
        <v>45292</v>
      </c>
      <c r="C290" t="s">
        <v>110</v>
      </c>
      <c r="D290" t="s">
        <v>50</v>
      </c>
      <c r="E290" s="2">
        <v>0</v>
      </c>
    </row>
    <row r="291" spans="1:5" x14ac:dyDescent="0.25">
      <c r="A291">
        <v>2024</v>
      </c>
      <c r="B291" s="4">
        <v>45323</v>
      </c>
      <c r="C291" t="s">
        <v>110</v>
      </c>
      <c r="D291" t="s">
        <v>50</v>
      </c>
      <c r="E291" s="2">
        <v>14.7</v>
      </c>
    </row>
    <row r="292" spans="1:5" x14ac:dyDescent="0.25">
      <c r="A292">
        <v>2024</v>
      </c>
      <c r="B292" s="4">
        <v>45352</v>
      </c>
      <c r="C292" t="s">
        <v>110</v>
      </c>
      <c r="D292" t="s">
        <v>50</v>
      </c>
      <c r="E292" s="2">
        <v>85.84</v>
      </c>
    </row>
    <row r="293" spans="1:5" x14ac:dyDescent="0.25">
      <c r="A293">
        <v>2024</v>
      </c>
      <c r="B293" s="4">
        <v>45383</v>
      </c>
      <c r="C293" t="s">
        <v>110</v>
      </c>
      <c r="D293" t="s">
        <v>50</v>
      </c>
      <c r="E293" s="2">
        <v>96.4</v>
      </c>
    </row>
    <row r="294" spans="1:5" x14ac:dyDescent="0.25">
      <c r="A294">
        <v>2024</v>
      </c>
      <c r="B294" s="4">
        <v>45413</v>
      </c>
      <c r="C294" t="s">
        <v>110</v>
      </c>
      <c r="D294" t="s">
        <v>50</v>
      </c>
      <c r="E294" s="2">
        <v>77.069999999999993</v>
      </c>
    </row>
    <row r="295" spans="1:5" x14ac:dyDescent="0.25">
      <c r="A295">
        <v>2024</v>
      </c>
      <c r="B295" s="4">
        <v>45444</v>
      </c>
      <c r="C295" t="s">
        <v>110</v>
      </c>
      <c r="D295" t="s">
        <v>50</v>
      </c>
      <c r="E295" s="2">
        <v>11.86</v>
      </c>
    </row>
    <row r="296" spans="1:5" x14ac:dyDescent="0.25">
      <c r="A296">
        <v>2024</v>
      </c>
      <c r="B296" s="4">
        <v>45474</v>
      </c>
      <c r="C296" t="s">
        <v>110</v>
      </c>
      <c r="D296" t="s">
        <v>50</v>
      </c>
      <c r="E296" s="2">
        <v>0</v>
      </c>
    </row>
    <row r="297" spans="1:5" x14ac:dyDescent="0.25">
      <c r="A297">
        <v>2024</v>
      </c>
      <c r="B297" s="4">
        <v>45505</v>
      </c>
      <c r="C297" t="s">
        <v>110</v>
      </c>
      <c r="D297" t="s">
        <v>50</v>
      </c>
      <c r="E297" s="2">
        <v>46.72</v>
      </c>
    </row>
    <row r="298" spans="1:5" x14ac:dyDescent="0.25">
      <c r="A298">
        <v>2024</v>
      </c>
      <c r="B298" s="4">
        <v>45536</v>
      </c>
      <c r="C298" t="s">
        <v>110</v>
      </c>
      <c r="D298" t="s">
        <v>50</v>
      </c>
      <c r="E298" s="2">
        <v>0</v>
      </c>
    </row>
    <row r="299" spans="1:5" x14ac:dyDescent="0.25">
      <c r="A299">
        <v>2024</v>
      </c>
      <c r="B299" s="4">
        <v>45566</v>
      </c>
      <c r="C299" t="s">
        <v>110</v>
      </c>
      <c r="D299" t="s">
        <v>50</v>
      </c>
      <c r="E299" s="2">
        <v>0</v>
      </c>
    </row>
    <row r="300" spans="1:5" x14ac:dyDescent="0.25">
      <c r="A300">
        <v>2024</v>
      </c>
      <c r="B300" s="4">
        <v>45597</v>
      </c>
      <c r="C300" t="s">
        <v>110</v>
      </c>
      <c r="D300" t="s">
        <v>50</v>
      </c>
      <c r="E300" s="2">
        <v>0</v>
      </c>
    </row>
    <row r="301" spans="1:5" x14ac:dyDescent="0.25">
      <c r="A301">
        <v>2024</v>
      </c>
      <c r="B301" s="4">
        <v>45627</v>
      </c>
      <c r="C301" t="s">
        <v>110</v>
      </c>
      <c r="D301" t="s">
        <v>50</v>
      </c>
      <c r="E301" s="2">
        <v>0</v>
      </c>
    </row>
    <row r="302" spans="1:5" x14ac:dyDescent="0.25">
      <c r="A302">
        <v>2024</v>
      </c>
      <c r="B302" s="4">
        <v>45292</v>
      </c>
      <c r="C302" t="s">
        <v>110</v>
      </c>
      <c r="D302" t="s">
        <v>38</v>
      </c>
      <c r="E302" s="2">
        <v>5.9</v>
      </c>
    </row>
    <row r="303" spans="1:5" x14ac:dyDescent="0.25">
      <c r="A303">
        <v>2024</v>
      </c>
      <c r="B303" s="4">
        <v>45323</v>
      </c>
      <c r="C303" t="s">
        <v>110</v>
      </c>
      <c r="D303" t="s">
        <v>38</v>
      </c>
      <c r="E303" s="2">
        <v>12.34</v>
      </c>
    </row>
    <row r="304" spans="1:5" x14ac:dyDescent="0.25">
      <c r="A304">
        <v>2024</v>
      </c>
      <c r="B304" s="4">
        <v>45352</v>
      </c>
      <c r="C304" t="s">
        <v>110</v>
      </c>
      <c r="D304" t="s">
        <v>38</v>
      </c>
      <c r="E304" s="2">
        <v>6.17</v>
      </c>
    </row>
    <row r="305" spans="1:5" x14ac:dyDescent="0.25">
      <c r="A305">
        <v>2024</v>
      </c>
      <c r="B305" s="4">
        <v>45383</v>
      </c>
      <c r="C305" t="s">
        <v>110</v>
      </c>
      <c r="D305" t="s">
        <v>38</v>
      </c>
      <c r="E305" s="2">
        <v>18.510000000000002</v>
      </c>
    </row>
    <row r="306" spans="1:5" x14ac:dyDescent="0.25">
      <c r="A306">
        <v>2024</v>
      </c>
      <c r="B306" s="4">
        <v>45413</v>
      </c>
      <c r="C306" t="s">
        <v>110</v>
      </c>
      <c r="D306" t="s">
        <v>38</v>
      </c>
      <c r="E306" s="2">
        <v>18.510000000000002</v>
      </c>
    </row>
    <row r="307" spans="1:5" x14ac:dyDescent="0.25">
      <c r="A307">
        <v>2024</v>
      </c>
      <c r="B307" s="4">
        <v>45444</v>
      </c>
      <c r="C307" t="s">
        <v>110</v>
      </c>
      <c r="D307" t="s">
        <v>38</v>
      </c>
      <c r="E307" s="2">
        <v>18.510000000000002</v>
      </c>
    </row>
    <row r="308" spans="1:5" x14ac:dyDescent="0.25">
      <c r="A308">
        <v>2024</v>
      </c>
      <c r="B308" s="4">
        <v>45474</v>
      </c>
      <c r="C308" t="s">
        <v>110</v>
      </c>
      <c r="D308" t="s">
        <v>38</v>
      </c>
      <c r="E308" s="2">
        <v>0</v>
      </c>
    </row>
    <row r="309" spans="1:5" x14ac:dyDescent="0.25">
      <c r="A309">
        <v>2024</v>
      </c>
      <c r="B309" s="4">
        <v>45505</v>
      </c>
      <c r="C309" t="s">
        <v>110</v>
      </c>
      <c r="D309" t="s">
        <v>38</v>
      </c>
      <c r="E309" s="2">
        <v>34.700000000000003</v>
      </c>
    </row>
    <row r="310" spans="1:5" x14ac:dyDescent="0.25">
      <c r="A310">
        <v>2024</v>
      </c>
      <c r="B310" s="4">
        <v>45536</v>
      </c>
      <c r="C310" t="s">
        <v>110</v>
      </c>
      <c r="D310" t="s">
        <v>38</v>
      </c>
      <c r="E310" s="2">
        <v>13.88</v>
      </c>
    </row>
    <row r="311" spans="1:5" x14ac:dyDescent="0.25">
      <c r="A311">
        <v>2024</v>
      </c>
      <c r="B311" s="4">
        <v>45566</v>
      </c>
      <c r="C311" t="s">
        <v>110</v>
      </c>
      <c r="D311" t="s">
        <v>38</v>
      </c>
      <c r="E311" s="2">
        <v>13.88</v>
      </c>
    </row>
    <row r="312" spans="1:5" x14ac:dyDescent="0.25">
      <c r="A312">
        <v>2024</v>
      </c>
      <c r="B312" s="4">
        <v>45597</v>
      </c>
      <c r="C312" t="s">
        <v>110</v>
      </c>
      <c r="D312" t="s">
        <v>38</v>
      </c>
      <c r="E312" s="2">
        <v>13.88</v>
      </c>
    </row>
    <row r="313" spans="1:5" x14ac:dyDescent="0.25">
      <c r="A313">
        <v>2024</v>
      </c>
      <c r="B313" s="4">
        <v>45627</v>
      </c>
      <c r="C313" t="s">
        <v>110</v>
      </c>
      <c r="D313" t="s">
        <v>38</v>
      </c>
      <c r="E313" s="2">
        <v>13.88</v>
      </c>
    </row>
    <row r="314" spans="1:5" x14ac:dyDescent="0.25">
      <c r="A314">
        <v>2024</v>
      </c>
      <c r="B314" s="4">
        <v>45292</v>
      </c>
      <c r="C314" t="s">
        <v>110</v>
      </c>
      <c r="D314" t="s">
        <v>45</v>
      </c>
      <c r="E314" s="2">
        <v>0</v>
      </c>
    </row>
    <row r="315" spans="1:5" x14ac:dyDescent="0.25">
      <c r="A315">
        <v>2024</v>
      </c>
      <c r="B315" s="4">
        <v>45323</v>
      </c>
      <c r="C315" t="s">
        <v>110</v>
      </c>
      <c r="D315" t="s">
        <v>45</v>
      </c>
      <c r="E315" s="2">
        <v>0</v>
      </c>
    </row>
    <row r="316" spans="1:5" x14ac:dyDescent="0.25">
      <c r="A316">
        <v>2024</v>
      </c>
      <c r="B316" s="4">
        <v>45352</v>
      </c>
      <c r="C316" t="s">
        <v>110</v>
      </c>
      <c r="D316" t="s">
        <v>45</v>
      </c>
      <c r="E316" s="2">
        <v>0</v>
      </c>
    </row>
    <row r="317" spans="1:5" x14ac:dyDescent="0.25">
      <c r="A317">
        <v>2024</v>
      </c>
      <c r="B317" s="4">
        <v>45383</v>
      </c>
      <c r="C317" t="s">
        <v>110</v>
      </c>
      <c r="D317" t="s">
        <v>45</v>
      </c>
      <c r="E317" s="2">
        <v>0</v>
      </c>
    </row>
    <row r="318" spans="1:5" x14ac:dyDescent="0.25">
      <c r="A318">
        <v>2024</v>
      </c>
      <c r="B318" s="4">
        <v>45413</v>
      </c>
      <c r="C318" t="s">
        <v>110</v>
      </c>
      <c r="D318" t="s">
        <v>45</v>
      </c>
      <c r="E318" s="2">
        <v>154.1</v>
      </c>
    </row>
    <row r="319" spans="1:5" x14ac:dyDescent="0.25">
      <c r="A319">
        <v>2024</v>
      </c>
      <c r="B319" s="4">
        <v>45444</v>
      </c>
      <c r="C319" t="s">
        <v>110</v>
      </c>
      <c r="D319" t="s">
        <v>45</v>
      </c>
      <c r="E319" s="2">
        <v>0</v>
      </c>
    </row>
    <row r="320" spans="1:5" x14ac:dyDescent="0.25">
      <c r="A320">
        <v>2024</v>
      </c>
      <c r="B320" s="4">
        <v>45474</v>
      </c>
      <c r="C320" t="s">
        <v>110</v>
      </c>
      <c r="D320" t="s">
        <v>45</v>
      </c>
      <c r="E320" s="2">
        <v>0</v>
      </c>
    </row>
    <row r="321" spans="1:5" x14ac:dyDescent="0.25">
      <c r="A321">
        <v>2024</v>
      </c>
      <c r="B321" s="4">
        <v>45505</v>
      </c>
      <c r="C321" t="s">
        <v>110</v>
      </c>
      <c r="D321" t="s">
        <v>45</v>
      </c>
      <c r="E321" s="2">
        <v>0</v>
      </c>
    </row>
    <row r="322" spans="1:5" x14ac:dyDescent="0.25">
      <c r="A322">
        <v>2024</v>
      </c>
      <c r="B322" s="4">
        <v>45536</v>
      </c>
      <c r="C322" t="s">
        <v>110</v>
      </c>
      <c r="D322" t="s">
        <v>45</v>
      </c>
      <c r="E322" s="2">
        <v>0</v>
      </c>
    </row>
    <row r="323" spans="1:5" x14ac:dyDescent="0.25">
      <c r="A323">
        <v>2024</v>
      </c>
      <c r="B323" s="4">
        <v>45566</v>
      </c>
      <c r="C323" t="s">
        <v>110</v>
      </c>
      <c r="D323" t="s">
        <v>45</v>
      </c>
      <c r="E323" s="2">
        <v>0</v>
      </c>
    </row>
    <row r="324" spans="1:5" x14ac:dyDescent="0.25">
      <c r="A324">
        <v>2024</v>
      </c>
      <c r="B324" s="4">
        <v>45597</v>
      </c>
      <c r="C324" t="s">
        <v>110</v>
      </c>
      <c r="D324" t="s">
        <v>45</v>
      </c>
      <c r="E324" s="2">
        <v>0</v>
      </c>
    </row>
    <row r="325" spans="1:5" x14ac:dyDescent="0.25">
      <c r="A325">
        <v>2024</v>
      </c>
      <c r="B325" s="4">
        <v>45627</v>
      </c>
      <c r="C325" t="s">
        <v>110</v>
      </c>
      <c r="D325" t="s">
        <v>45</v>
      </c>
      <c r="E325" s="2">
        <v>0</v>
      </c>
    </row>
    <row r="326" spans="1:5" x14ac:dyDescent="0.25">
      <c r="A326">
        <v>2024</v>
      </c>
      <c r="B326" s="4">
        <v>45292</v>
      </c>
      <c r="C326" t="s">
        <v>110</v>
      </c>
      <c r="D326" t="s">
        <v>34</v>
      </c>
      <c r="E326" s="2">
        <v>0</v>
      </c>
    </row>
    <row r="327" spans="1:5" x14ac:dyDescent="0.25">
      <c r="A327">
        <v>2024</v>
      </c>
      <c r="B327" s="4">
        <v>45323</v>
      </c>
      <c r="C327" t="s">
        <v>110</v>
      </c>
      <c r="D327" t="s">
        <v>34</v>
      </c>
      <c r="E327" s="2">
        <v>0</v>
      </c>
    </row>
    <row r="328" spans="1:5" x14ac:dyDescent="0.25">
      <c r="A328">
        <v>2024</v>
      </c>
      <c r="B328" s="4">
        <v>45352</v>
      </c>
      <c r="C328" t="s">
        <v>110</v>
      </c>
      <c r="D328" t="s">
        <v>34</v>
      </c>
      <c r="E328" s="2">
        <v>60</v>
      </c>
    </row>
    <row r="329" spans="1:5" x14ac:dyDescent="0.25">
      <c r="A329">
        <v>2024</v>
      </c>
      <c r="B329" s="4">
        <v>45383</v>
      </c>
      <c r="C329" t="s">
        <v>110</v>
      </c>
      <c r="D329" t="s">
        <v>34</v>
      </c>
      <c r="E329" s="2">
        <v>45</v>
      </c>
    </row>
    <row r="330" spans="1:5" x14ac:dyDescent="0.25">
      <c r="A330">
        <v>2024</v>
      </c>
      <c r="B330" s="4">
        <v>45413</v>
      </c>
      <c r="C330" t="s">
        <v>110</v>
      </c>
      <c r="D330" t="s">
        <v>34</v>
      </c>
      <c r="E330" s="2">
        <v>0</v>
      </c>
    </row>
    <row r="331" spans="1:5" x14ac:dyDescent="0.25">
      <c r="A331">
        <v>2024</v>
      </c>
      <c r="B331" s="4">
        <v>45444</v>
      </c>
      <c r="C331" t="s">
        <v>110</v>
      </c>
      <c r="D331" t="s">
        <v>34</v>
      </c>
      <c r="E331" s="2">
        <v>0</v>
      </c>
    </row>
    <row r="332" spans="1:5" x14ac:dyDescent="0.25">
      <c r="A332">
        <v>2024</v>
      </c>
      <c r="B332" s="4">
        <v>45474</v>
      </c>
      <c r="C332" t="s">
        <v>110</v>
      </c>
      <c r="D332" t="s">
        <v>34</v>
      </c>
      <c r="E332" s="2">
        <v>0</v>
      </c>
    </row>
    <row r="333" spans="1:5" x14ac:dyDescent="0.25">
      <c r="A333">
        <v>2024</v>
      </c>
      <c r="B333" s="4">
        <v>45505</v>
      </c>
      <c r="C333" t="s">
        <v>110</v>
      </c>
      <c r="D333" t="s">
        <v>34</v>
      </c>
      <c r="E333" s="2">
        <v>0</v>
      </c>
    </row>
    <row r="334" spans="1:5" x14ac:dyDescent="0.25">
      <c r="A334">
        <v>2024</v>
      </c>
      <c r="B334" s="4">
        <v>45536</v>
      </c>
      <c r="C334" t="s">
        <v>110</v>
      </c>
      <c r="D334" t="s">
        <v>34</v>
      </c>
      <c r="E334" s="2">
        <v>40</v>
      </c>
    </row>
    <row r="335" spans="1:5" x14ac:dyDescent="0.25">
      <c r="A335">
        <v>2024</v>
      </c>
      <c r="B335" s="4">
        <v>45566</v>
      </c>
      <c r="C335" t="s">
        <v>110</v>
      </c>
      <c r="D335" t="s">
        <v>34</v>
      </c>
      <c r="E335" s="2">
        <v>0</v>
      </c>
    </row>
    <row r="336" spans="1:5" x14ac:dyDescent="0.25">
      <c r="A336">
        <v>2024</v>
      </c>
      <c r="B336" s="4">
        <v>45597</v>
      </c>
      <c r="C336" t="s">
        <v>110</v>
      </c>
      <c r="D336" t="s">
        <v>34</v>
      </c>
      <c r="E336" s="2">
        <v>0</v>
      </c>
    </row>
    <row r="337" spans="1:5" x14ac:dyDescent="0.25">
      <c r="A337">
        <v>2024</v>
      </c>
      <c r="B337" s="4">
        <v>45627</v>
      </c>
      <c r="C337" t="s">
        <v>110</v>
      </c>
      <c r="D337" t="s">
        <v>34</v>
      </c>
      <c r="E337" s="2">
        <v>0</v>
      </c>
    </row>
    <row r="338" spans="1:5" x14ac:dyDescent="0.25">
      <c r="A338">
        <v>2024</v>
      </c>
      <c r="B338" s="4">
        <v>45292</v>
      </c>
      <c r="C338" t="s">
        <v>110</v>
      </c>
      <c r="D338" t="s">
        <v>52</v>
      </c>
      <c r="E338" s="2">
        <v>0</v>
      </c>
    </row>
    <row r="339" spans="1:5" x14ac:dyDescent="0.25">
      <c r="A339">
        <v>2024</v>
      </c>
      <c r="B339" s="4">
        <v>45323</v>
      </c>
      <c r="C339" t="s">
        <v>110</v>
      </c>
      <c r="D339" t="s">
        <v>52</v>
      </c>
      <c r="E339" s="2">
        <v>41.9</v>
      </c>
    </row>
    <row r="340" spans="1:5" x14ac:dyDescent="0.25">
      <c r="A340">
        <v>2024</v>
      </c>
      <c r="B340" s="4">
        <v>45352</v>
      </c>
      <c r="C340" t="s">
        <v>110</v>
      </c>
      <c r="D340" t="s">
        <v>52</v>
      </c>
      <c r="E340" s="2">
        <v>41.9</v>
      </c>
    </row>
    <row r="341" spans="1:5" x14ac:dyDescent="0.25">
      <c r="A341">
        <v>2024</v>
      </c>
      <c r="B341" s="4">
        <v>45383</v>
      </c>
      <c r="C341" t="s">
        <v>110</v>
      </c>
      <c r="D341" t="s">
        <v>52</v>
      </c>
      <c r="E341" s="2">
        <v>0</v>
      </c>
    </row>
    <row r="342" spans="1:5" x14ac:dyDescent="0.25">
      <c r="A342">
        <v>2024</v>
      </c>
      <c r="B342" s="4">
        <v>45413</v>
      </c>
      <c r="C342" t="s">
        <v>110</v>
      </c>
      <c r="D342" t="s">
        <v>52</v>
      </c>
      <c r="E342" s="2">
        <v>0</v>
      </c>
    </row>
    <row r="343" spans="1:5" x14ac:dyDescent="0.25">
      <c r="A343">
        <v>2024</v>
      </c>
      <c r="B343" s="4">
        <v>45444</v>
      </c>
      <c r="C343" t="s">
        <v>110</v>
      </c>
      <c r="D343" t="s">
        <v>52</v>
      </c>
      <c r="E343" s="2">
        <v>0</v>
      </c>
    </row>
    <row r="344" spans="1:5" x14ac:dyDescent="0.25">
      <c r="A344">
        <v>2024</v>
      </c>
      <c r="B344" s="4">
        <v>45474</v>
      </c>
      <c r="C344" t="s">
        <v>110</v>
      </c>
      <c r="D344" t="s">
        <v>52</v>
      </c>
      <c r="E344" s="2">
        <v>0</v>
      </c>
    </row>
    <row r="345" spans="1:5" x14ac:dyDescent="0.25">
      <c r="A345">
        <v>2024</v>
      </c>
      <c r="B345" s="4">
        <v>45505</v>
      </c>
      <c r="C345" t="s">
        <v>110</v>
      </c>
      <c r="D345" t="s">
        <v>52</v>
      </c>
      <c r="E345" s="2">
        <v>0</v>
      </c>
    </row>
    <row r="346" spans="1:5" x14ac:dyDescent="0.25">
      <c r="A346">
        <v>2024</v>
      </c>
      <c r="B346" s="4">
        <v>45536</v>
      </c>
      <c r="C346" t="s">
        <v>110</v>
      </c>
      <c r="D346" t="s">
        <v>52</v>
      </c>
      <c r="E346" s="2">
        <v>0</v>
      </c>
    </row>
    <row r="347" spans="1:5" x14ac:dyDescent="0.25">
      <c r="A347">
        <v>2024</v>
      </c>
      <c r="B347" s="4">
        <v>45566</v>
      </c>
      <c r="C347" t="s">
        <v>110</v>
      </c>
      <c r="D347" t="s">
        <v>52</v>
      </c>
      <c r="E347" s="2">
        <v>0</v>
      </c>
    </row>
    <row r="348" spans="1:5" x14ac:dyDescent="0.25">
      <c r="A348">
        <v>2024</v>
      </c>
      <c r="B348" s="4">
        <v>45597</v>
      </c>
      <c r="C348" t="s">
        <v>110</v>
      </c>
      <c r="D348" t="s">
        <v>52</v>
      </c>
      <c r="E348" s="2">
        <v>0</v>
      </c>
    </row>
    <row r="349" spans="1:5" x14ac:dyDescent="0.25">
      <c r="A349">
        <v>2024</v>
      </c>
      <c r="B349" s="4">
        <v>45627</v>
      </c>
      <c r="C349" t="s">
        <v>110</v>
      </c>
      <c r="D349" t="s">
        <v>52</v>
      </c>
      <c r="E349" s="2">
        <v>0</v>
      </c>
    </row>
    <row r="350" spans="1:5" x14ac:dyDescent="0.25">
      <c r="A350">
        <v>2024</v>
      </c>
      <c r="B350" s="4">
        <v>45292</v>
      </c>
      <c r="C350" t="s">
        <v>110</v>
      </c>
      <c r="D350" t="s">
        <v>62</v>
      </c>
      <c r="E350" s="2">
        <v>0</v>
      </c>
    </row>
    <row r="351" spans="1:5" x14ac:dyDescent="0.25">
      <c r="A351">
        <v>2024</v>
      </c>
      <c r="B351" s="4">
        <v>45323</v>
      </c>
      <c r="C351" t="s">
        <v>110</v>
      </c>
      <c r="D351" t="s">
        <v>62</v>
      </c>
      <c r="E351" s="2">
        <v>0</v>
      </c>
    </row>
    <row r="352" spans="1:5" x14ac:dyDescent="0.25">
      <c r="A352">
        <v>2024</v>
      </c>
      <c r="B352" s="4">
        <v>45352</v>
      </c>
      <c r="C352" t="s">
        <v>110</v>
      </c>
      <c r="D352" t="s">
        <v>62</v>
      </c>
      <c r="E352" s="2">
        <v>63.36</v>
      </c>
    </row>
    <row r="353" spans="1:5" x14ac:dyDescent="0.25">
      <c r="A353">
        <v>2024</v>
      </c>
      <c r="B353" s="4">
        <v>45383</v>
      </c>
      <c r="C353" t="s">
        <v>110</v>
      </c>
      <c r="D353" t="s">
        <v>62</v>
      </c>
      <c r="E353" s="2">
        <v>0</v>
      </c>
    </row>
    <row r="354" spans="1:5" x14ac:dyDescent="0.25">
      <c r="A354">
        <v>2024</v>
      </c>
      <c r="B354" s="4">
        <v>45413</v>
      </c>
      <c r="C354" t="s">
        <v>110</v>
      </c>
      <c r="D354" t="s">
        <v>62</v>
      </c>
      <c r="E354" s="2">
        <v>0</v>
      </c>
    </row>
    <row r="355" spans="1:5" x14ac:dyDescent="0.25">
      <c r="A355">
        <v>2024</v>
      </c>
      <c r="B355" s="4">
        <v>45444</v>
      </c>
      <c r="C355" t="s">
        <v>110</v>
      </c>
      <c r="D355" t="s">
        <v>62</v>
      </c>
      <c r="E355" s="2">
        <v>0</v>
      </c>
    </row>
    <row r="356" spans="1:5" x14ac:dyDescent="0.25">
      <c r="A356">
        <v>2024</v>
      </c>
      <c r="B356" s="4">
        <v>45474</v>
      </c>
      <c r="C356" t="s">
        <v>110</v>
      </c>
      <c r="D356" t="s">
        <v>62</v>
      </c>
      <c r="E356" s="2">
        <v>0</v>
      </c>
    </row>
    <row r="357" spans="1:5" x14ac:dyDescent="0.25">
      <c r="A357">
        <v>2024</v>
      </c>
      <c r="B357" s="4">
        <v>45505</v>
      </c>
      <c r="C357" t="s">
        <v>110</v>
      </c>
      <c r="D357" t="s">
        <v>62</v>
      </c>
      <c r="E357" s="2">
        <v>0</v>
      </c>
    </row>
    <row r="358" spans="1:5" x14ac:dyDescent="0.25">
      <c r="A358">
        <v>2024</v>
      </c>
      <c r="B358" s="4">
        <v>45536</v>
      </c>
      <c r="C358" t="s">
        <v>110</v>
      </c>
      <c r="D358" t="s">
        <v>62</v>
      </c>
      <c r="E358" s="2">
        <v>0</v>
      </c>
    </row>
    <row r="359" spans="1:5" x14ac:dyDescent="0.25">
      <c r="A359">
        <v>2024</v>
      </c>
      <c r="B359" s="4">
        <v>45566</v>
      </c>
      <c r="C359" t="s">
        <v>110</v>
      </c>
      <c r="D359" t="s">
        <v>62</v>
      </c>
      <c r="E359" s="2">
        <v>0</v>
      </c>
    </row>
    <row r="360" spans="1:5" x14ac:dyDescent="0.25">
      <c r="A360">
        <v>2024</v>
      </c>
      <c r="B360" s="4">
        <v>45597</v>
      </c>
      <c r="C360" t="s">
        <v>110</v>
      </c>
      <c r="D360" t="s">
        <v>62</v>
      </c>
      <c r="E360" s="2">
        <v>0</v>
      </c>
    </row>
    <row r="361" spans="1:5" x14ac:dyDescent="0.25">
      <c r="A361">
        <v>2024</v>
      </c>
      <c r="B361" s="4">
        <v>45627</v>
      </c>
      <c r="C361" t="s">
        <v>110</v>
      </c>
      <c r="D361" t="s">
        <v>62</v>
      </c>
      <c r="E361" s="2">
        <v>0</v>
      </c>
    </row>
    <row r="362" spans="1:5" x14ac:dyDescent="0.25">
      <c r="A362">
        <v>2024</v>
      </c>
      <c r="B362" s="4">
        <v>45292</v>
      </c>
      <c r="C362" t="s">
        <v>110</v>
      </c>
      <c r="D362" t="s">
        <v>51</v>
      </c>
      <c r="E362" s="2">
        <v>0</v>
      </c>
    </row>
    <row r="363" spans="1:5" x14ac:dyDescent="0.25">
      <c r="A363">
        <v>2024</v>
      </c>
      <c r="B363" s="4">
        <v>45323</v>
      </c>
      <c r="C363" t="s">
        <v>110</v>
      </c>
      <c r="D363" t="s">
        <v>51</v>
      </c>
      <c r="E363" s="2">
        <v>0</v>
      </c>
    </row>
    <row r="364" spans="1:5" x14ac:dyDescent="0.25">
      <c r="A364">
        <v>2024</v>
      </c>
      <c r="B364" s="4">
        <v>45352</v>
      </c>
      <c r="C364" t="s">
        <v>110</v>
      </c>
      <c r="D364" t="s">
        <v>51</v>
      </c>
      <c r="E364" s="2">
        <v>0</v>
      </c>
    </row>
    <row r="365" spans="1:5" x14ac:dyDescent="0.25">
      <c r="A365">
        <v>2024</v>
      </c>
      <c r="B365" s="4">
        <v>45383</v>
      </c>
      <c r="C365" t="s">
        <v>110</v>
      </c>
      <c r="D365" t="s">
        <v>51</v>
      </c>
      <c r="E365" s="2">
        <v>0</v>
      </c>
    </row>
    <row r="366" spans="1:5" x14ac:dyDescent="0.25">
      <c r="A366">
        <v>2024</v>
      </c>
      <c r="B366" s="4">
        <v>45413</v>
      </c>
      <c r="C366" t="s">
        <v>110</v>
      </c>
      <c r="D366" t="s">
        <v>51</v>
      </c>
      <c r="E366" s="2">
        <v>0</v>
      </c>
    </row>
    <row r="367" spans="1:5" x14ac:dyDescent="0.25">
      <c r="A367">
        <v>2024</v>
      </c>
      <c r="B367" s="4">
        <v>45444</v>
      </c>
      <c r="C367" t="s">
        <v>110</v>
      </c>
      <c r="D367" t="s">
        <v>51</v>
      </c>
      <c r="E367" s="2">
        <v>0</v>
      </c>
    </row>
    <row r="368" spans="1:5" x14ac:dyDescent="0.25">
      <c r="A368">
        <v>2024</v>
      </c>
      <c r="B368" s="4">
        <v>45474</v>
      </c>
      <c r="C368" t="s">
        <v>110</v>
      </c>
      <c r="D368" t="s">
        <v>51</v>
      </c>
      <c r="E368" s="2">
        <v>0</v>
      </c>
    </row>
    <row r="369" spans="1:5" x14ac:dyDescent="0.25">
      <c r="A369">
        <v>2024</v>
      </c>
      <c r="B369" s="4">
        <v>45505</v>
      </c>
      <c r="C369" t="s">
        <v>110</v>
      </c>
      <c r="D369" t="s">
        <v>51</v>
      </c>
      <c r="E369" s="2">
        <v>35.96</v>
      </c>
    </row>
    <row r="370" spans="1:5" x14ac:dyDescent="0.25">
      <c r="A370">
        <v>2024</v>
      </c>
      <c r="B370" s="4">
        <v>45536</v>
      </c>
      <c r="C370" t="s">
        <v>110</v>
      </c>
      <c r="D370" t="s">
        <v>51</v>
      </c>
      <c r="E370" s="2">
        <v>0</v>
      </c>
    </row>
    <row r="371" spans="1:5" x14ac:dyDescent="0.25">
      <c r="A371">
        <v>2024</v>
      </c>
      <c r="B371" s="4">
        <v>45566</v>
      </c>
      <c r="C371" t="s">
        <v>110</v>
      </c>
      <c r="D371" t="s">
        <v>51</v>
      </c>
      <c r="E371" s="2">
        <v>0</v>
      </c>
    </row>
    <row r="372" spans="1:5" x14ac:dyDescent="0.25">
      <c r="A372">
        <v>2024</v>
      </c>
      <c r="B372" s="4">
        <v>45597</v>
      </c>
      <c r="C372" t="s">
        <v>110</v>
      </c>
      <c r="D372" t="s">
        <v>51</v>
      </c>
      <c r="E372" s="2">
        <v>0</v>
      </c>
    </row>
    <row r="373" spans="1:5" x14ac:dyDescent="0.25">
      <c r="A373">
        <v>2024</v>
      </c>
      <c r="B373" s="4">
        <v>45627</v>
      </c>
      <c r="C373" t="s">
        <v>110</v>
      </c>
      <c r="D373" t="s">
        <v>51</v>
      </c>
      <c r="E373" s="2">
        <v>0</v>
      </c>
    </row>
    <row r="374" spans="1:5" x14ac:dyDescent="0.25">
      <c r="A374">
        <v>2024</v>
      </c>
      <c r="B374" s="4">
        <v>45292</v>
      </c>
      <c r="C374" t="s">
        <v>110</v>
      </c>
      <c r="D374" t="s">
        <v>44</v>
      </c>
      <c r="E374" s="2">
        <v>0</v>
      </c>
    </row>
    <row r="375" spans="1:5" x14ac:dyDescent="0.25">
      <c r="A375">
        <v>2024</v>
      </c>
      <c r="B375" s="4">
        <v>45323</v>
      </c>
      <c r="C375" t="s">
        <v>110</v>
      </c>
      <c r="D375" t="s">
        <v>44</v>
      </c>
      <c r="E375" s="2">
        <v>0</v>
      </c>
    </row>
    <row r="376" spans="1:5" x14ac:dyDescent="0.25">
      <c r="A376">
        <v>2024</v>
      </c>
      <c r="B376" s="4">
        <v>45352</v>
      </c>
      <c r="C376" t="s">
        <v>110</v>
      </c>
      <c r="D376" t="s">
        <v>44</v>
      </c>
      <c r="E376" s="2">
        <v>0</v>
      </c>
    </row>
    <row r="377" spans="1:5" x14ac:dyDescent="0.25">
      <c r="A377">
        <v>2024</v>
      </c>
      <c r="B377" s="4">
        <v>45383</v>
      </c>
      <c r="C377" t="s">
        <v>110</v>
      </c>
      <c r="D377" t="s">
        <v>44</v>
      </c>
      <c r="E377" s="2">
        <v>0</v>
      </c>
    </row>
    <row r="378" spans="1:5" x14ac:dyDescent="0.25">
      <c r="A378">
        <v>2024</v>
      </c>
      <c r="B378" s="4">
        <v>45413</v>
      </c>
      <c r="C378" t="s">
        <v>110</v>
      </c>
      <c r="D378" t="s">
        <v>44</v>
      </c>
      <c r="E378" s="2">
        <v>0</v>
      </c>
    </row>
    <row r="379" spans="1:5" x14ac:dyDescent="0.25">
      <c r="A379">
        <v>2024</v>
      </c>
      <c r="B379" s="4">
        <v>45444</v>
      </c>
      <c r="C379" t="s">
        <v>110</v>
      </c>
      <c r="D379" t="s">
        <v>44</v>
      </c>
      <c r="E379" s="2">
        <v>0</v>
      </c>
    </row>
    <row r="380" spans="1:5" x14ac:dyDescent="0.25">
      <c r="A380">
        <v>2024</v>
      </c>
      <c r="B380" s="4">
        <v>45474</v>
      </c>
      <c r="C380" t="s">
        <v>110</v>
      </c>
      <c r="D380" t="s">
        <v>44</v>
      </c>
      <c r="E380" s="2">
        <v>6</v>
      </c>
    </row>
    <row r="381" spans="1:5" x14ac:dyDescent="0.25">
      <c r="A381">
        <v>2024</v>
      </c>
      <c r="B381" s="4">
        <v>45505</v>
      </c>
      <c r="C381" t="s">
        <v>110</v>
      </c>
      <c r="D381" t="s">
        <v>44</v>
      </c>
      <c r="E381" s="2">
        <v>0</v>
      </c>
    </row>
    <row r="382" spans="1:5" x14ac:dyDescent="0.25">
      <c r="A382">
        <v>2024</v>
      </c>
      <c r="B382" s="4">
        <v>45536</v>
      </c>
      <c r="C382" t="s">
        <v>110</v>
      </c>
      <c r="D382" t="s">
        <v>44</v>
      </c>
      <c r="E382" s="2">
        <v>0</v>
      </c>
    </row>
    <row r="383" spans="1:5" x14ac:dyDescent="0.25">
      <c r="A383">
        <v>2024</v>
      </c>
      <c r="B383" s="4">
        <v>45566</v>
      </c>
      <c r="C383" t="s">
        <v>110</v>
      </c>
      <c r="D383" t="s">
        <v>44</v>
      </c>
      <c r="E383" s="2">
        <v>7.5</v>
      </c>
    </row>
    <row r="384" spans="1:5" x14ac:dyDescent="0.25">
      <c r="A384">
        <v>2024</v>
      </c>
      <c r="B384" s="4">
        <v>45597</v>
      </c>
      <c r="C384" t="s">
        <v>110</v>
      </c>
      <c r="D384" t="s">
        <v>44</v>
      </c>
      <c r="E384" s="2">
        <v>9</v>
      </c>
    </row>
    <row r="385" spans="1:5" x14ac:dyDescent="0.25">
      <c r="A385">
        <v>2024</v>
      </c>
      <c r="B385" s="4">
        <v>45627</v>
      </c>
      <c r="C385" t="s">
        <v>110</v>
      </c>
      <c r="D385" t="s">
        <v>44</v>
      </c>
      <c r="E385" s="2">
        <v>0</v>
      </c>
    </row>
    <row r="386" spans="1:5" x14ac:dyDescent="0.25">
      <c r="A386">
        <v>2024</v>
      </c>
      <c r="B386" s="4">
        <v>45292</v>
      </c>
      <c r="C386" t="s">
        <v>111</v>
      </c>
      <c r="D386" t="s">
        <v>24</v>
      </c>
      <c r="E386" s="2">
        <v>2696.55</v>
      </c>
    </row>
    <row r="387" spans="1:5" x14ac:dyDescent="0.25">
      <c r="A387">
        <v>2024</v>
      </c>
      <c r="B387" s="4">
        <v>45323</v>
      </c>
      <c r="C387" t="s">
        <v>111</v>
      </c>
      <c r="D387" t="s">
        <v>24</v>
      </c>
      <c r="E387" s="2">
        <v>7308.65</v>
      </c>
    </row>
    <row r="388" spans="1:5" x14ac:dyDescent="0.25">
      <c r="A388">
        <v>2024</v>
      </c>
      <c r="B388" s="4">
        <v>45352</v>
      </c>
      <c r="C388" t="s">
        <v>111</v>
      </c>
      <c r="D388" t="s">
        <v>24</v>
      </c>
      <c r="E388" s="2">
        <v>25550.82</v>
      </c>
    </row>
    <row r="389" spans="1:5" x14ac:dyDescent="0.25">
      <c r="A389">
        <v>2024</v>
      </c>
      <c r="B389" s="4">
        <v>45383</v>
      </c>
      <c r="C389" t="s">
        <v>111</v>
      </c>
      <c r="D389" t="s">
        <v>24</v>
      </c>
      <c r="E389" s="2">
        <v>29394.240000000002</v>
      </c>
    </row>
    <row r="390" spans="1:5" x14ac:dyDescent="0.25">
      <c r="A390">
        <v>2024</v>
      </c>
      <c r="B390" s="4">
        <v>45413</v>
      </c>
      <c r="C390" t="s">
        <v>111</v>
      </c>
      <c r="D390" t="s">
        <v>24</v>
      </c>
      <c r="E390" s="2">
        <v>0</v>
      </c>
    </row>
    <row r="391" spans="1:5" x14ac:dyDescent="0.25">
      <c r="A391">
        <v>2024</v>
      </c>
      <c r="B391" s="4">
        <v>45444</v>
      </c>
      <c r="C391" t="s">
        <v>111</v>
      </c>
      <c r="D391" t="s">
        <v>24</v>
      </c>
      <c r="E391" s="2">
        <v>17006.810000000001</v>
      </c>
    </row>
    <row r="392" spans="1:5" x14ac:dyDescent="0.25">
      <c r="A392">
        <v>2024</v>
      </c>
      <c r="B392" s="4">
        <v>45474</v>
      </c>
      <c r="C392" t="s">
        <v>111</v>
      </c>
      <c r="D392" t="s">
        <v>24</v>
      </c>
      <c r="E392" s="2">
        <v>38376.019999999997</v>
      </c>
    </row>
    <row r="393" spans="1:5" x14ac:dyDescent="0.25">
      <c r="A393">
        <v>2024</v>
      </c>
      <c r="B393" s="4">
        <v>45505</v>
      </c>
      <c r="C393" t="s">
        <v>111</v>
      </c>
      <c r="D393" t="s">
        <v>24</v>
      </c>
      <c r="E393" s="2">
        <v>44634.12</v>
      </c>
    </row>
    <row r="394" spans="1:5" x14ac:dyDescent="0.25">
      <c r="A394">
        <v>2024</v>
      </c>
      <c r="B394" s="4">
        <v>45536</v>
      </c>
      <c r="C394" t="s">
        <v>111</v>
      </c>
      <c r="D394" t="s">
        <v>24</v>
      </c>
      <c r="E394" s="2">
        <v>6501.45</v>
      </c>
    </row>
    <row r="395" spans="1:5" x14ac:dyDescent="0.25">
      <c r="A395">
        <v>2024</v>
      </c>
      <c r="B395" s="4">
        <v>45566</v>
      </c>
      <c r="C395" t="s">
        <v>111</v>
      </c>
      <c r="D395" t="s">
        <v>24</v>
      </c>
      <c r="E395" s="2">
        <v>12504.58</v>
      </c>
    </row>
    <row r="396" spans="1:5" x14ac:dyDescent="0.25">
      <c r="A396">
        <v>2024</v>
      </c>
      <c r="B396" s="4">
        <v>45597</v>
      </c>
      <c r="C396" t="s">
        <v>111</v>
      </c>
      <c r="D396" t="s">
        <v>24</v>
      </c>
      <c r="E396" s="2">
        <v>11216.96</v>
      </c>
    </row>
    <row r="397" spans="1:5" x14ac:dyDescent="0.25">
      <c r="A397">
        <v>2024</v>
      </c>
      <c r="B397" s="4">
        <v>45627</v>
      </c>
      <c r="C397" t="s">
        <v>111</v>
      </c>
      <c r="D397" t="s">
        <v>24</v>
      </c>
      <c r="E397" s="2">
        <v>14022.93</v>
      </c>
    </row>
    <row r="398" spans="1:5" x14ac:dyDescent="0.25">
      <c r="A398">
        <v>2024</v>
      </c>
      <c r="B398" s="4">
        <v>45292</v>
      </c>
      <c r="C398" t="s">
        <v>111</v>
      </c>
      <c r="D398" t="s">
        <v>33</v>
      </c>
      <c r="E398" s="2">
        <v>0</v>
      </c>
    </row>
    <row r="399" spans="1:5" x14ac:dyDescent="0.25">
      <c r="A399">
        <v>2024</v>
      </c>
      <c r="B399" s="4">
        <v>45323</v>
      </c>
      <c r="C399" t="s">
        <v>111</v>
      </c>
      <c r="D399" t="s">
        <v>33</v>
      </c>
      <c r="E399" s="2">
        <v>0</v>
      </c>
    </row>
    <row r="400" spans="1:5" x14ac:dyDescent="0.25">
      <c r="A400">
        <v>2024</v>
      </c>
      <c r="B400" s="4">
        <v>45352</v>
      </c>
      <c r="C400" t="s">
        <v>111</v>
      </c>
      <c r="D400" t="s">
        <v>33</v>
      </c>
      <c r="E400" s="2">
        <v>437.72</v>
      </c>
    </row>
    <row r="401" spans="1:5" x14ac:dyDescent="0.25">
      <c r="A401">
        <v>2024</v>
      </c>
      <c r="B401" s="4">
        <v>45383</v>
      </c>
      <c r="C401" t="s">
        <v>111</v>
      </c>
      <c r="D401" t="s">
        <v>33</v>
      </c>
      <c r="E401" s="2">
        <v>551.72</v>
      </c>
    </row>
    <row r="402" spans="1:5" x14ac:dyDescent="0.25">
      <c r="A402">
        <v>2024</v>
      </c>
      <c r="B402" s="4">
        <v>45413</v>
      </c>
      <c r="C402" t="s">
        <v>111</v>
      </c>
      <c r="D402" t="s">
        <v>33</v>
      </c>
      <c r="E402" s="2">
        <v>0</v>
      </c>
    </row>
    <row r="403" spans="1:5" x14ac:dyDescent="0.25">
      <c r="A403">
        <v>2024</v>
      </c>
      <c r="B403" s="4">
        <v>45444</v>
      </c>
      <c r="C403" t="s">
        <v>111</v>
      </c>
      <c r="D403" t="s">
        <v>33</v>
      </c>
      <c r="E403" s="2">
        <v>0</v>
      </c>
    </row>
    <row r="404" spans="1:5" x14ac:dyDescent="0.25">
      <c r="A404">
        <v>2024</v>
      </c>
      <c r="B404" s="4">
        <v>45474</v>
      </c>
      <c r="C404" t="s">
        <v>111</v>
      </c>
      <c r="D404" t="s">
        <v>33</v>
      </c>
      <c r="E404" s="2">
        <v>0</v>
      </c>
    </row>
    <row r="405" spans="1:5" x14ac:dyDescent="0.25">
      <c r="A405">
        <v>2024</v>
      </c>
      <c r="B405" s="4">
        <v>45505</v>
      </c>
      <c r="C405" t="s">
        <v>111</v>
      </c>
      <c r="D405" t="s">
        <v>33</v>
      </c>
      <c r="E405" s="2">
        <v>0</v>
      </c>
    </row>
    <row r="406" spans="1:5" x14ac:dyDescent="0.25">
      <c r="A406">
        <v>2024</v>
      </c>
      <c r="B406" s="4">
        <v>45536</v>
      </c>
      <c r="C406" t="s">
        <v>111</v>
      </c>
      <c r="D406" t="s">
        <v>33</v>
      </c>
      <c r="E406" s="2">
        <v>0</v>
      </c>
    </row>
    <row r="407" spans="1:5" x14ac:dyDescent="0.25">
      <c r="A407">
        <v>2024</v>
      </c>
      <c r="B407" s="4">
        <v>45566</v>
      </c>
      <c r="C407" t="s">
        <v>111</v>
      </c>
      <c r="D407" t="s">
        <v>33</v>
      </c>
      <c r="E407" s="2">
        <v>0</v>
      </c>
    </row>
    <row r="408" spans="1:5" x14ac:dyDescent="0.25">
      <c r="A408">
        <v>2024</v>
      </c>
      <c r="B408" s="4">
        <v>45597</v>
      </c>
      <c r="C408" t="s">
        <v>111</v>
      </c>
      <c r="D408" t="s">
        <v>33</v>
      </c>
      <c r="E408" s="2">
        <v>0</v>
      </c>
    </row>
    <row r="409" spans="1:5" x14ac:dyDescent="0.25">
      <c r="A409">
        <v>2024</v>
      </c>
      <c r="B409" s="4">
        <v>45627</v>
      </c>
      <c r="C409" t="s">
        <v>111</v>
      </c>
      <c r="D409" t="s">
        <v>33</v>
      </c>
      <c r="E409" s="2">
        <v>0</v>
      </c>
    </row>
    <row r="410" spans="1:5" x14ac:dyDescent="0.25">
      <c r="A410">
        <v>2024</v>
      </c>
      <c r="B410" s="4">
        <v>45292</v>
      </c>
      <c r="C410" t="s">
        <v>111</v>
      </c>
      <c r="D410" t="s">
        <v>30</v>
      </c>
      <c r="E410" s="2">
        <v>0</v>
      </c>
    </row>
    <row r="411" spans="1:5" x14ac:dyDescent="0.25">
      <c r="A411">
        <v>2024</v>
      </c>
      <c r="B411" s="4">
        <v>45323</v>
      </c>
      <c r="C411" t="s">
        <v>111</v>
      </c>
      <c r="D411" t="s">
        <v>30</v>
      </c>
      <c r="E411" s="2">
        <v>0</v>
      </c>
    </row>
    <row r="412" spans="1:5" x14ac:dyDescent="0.25">
      <c r="A412">
        <v>2024</v>
      </c>
      <c r="B412" s="4">
        <v>45352</v>
      </c>
      <c r="C412" t="s">
        <v>111</v>
      </c>
      <c r="D412" t="s">
        <v>30</v>
      </c>
      <c r="E412" s="2">
        <v>0</v>
      </c>
    </row>
    <row r="413" spans="1:5" x14ac:dyDescent="0.25">
      <c r="A413">
        <v>2024</v>
      </c>
      <c r="B413" s="4">
        <v>45383</v>
      </c>
      <c r="C413" t="s">
        <v>111</v>
      </c>
      <c r="D413" t="s">
        <v>30</v>
      </c>
      <c r="E413" s="2">
        <v>32</v>
      </c>
    </row>
    <row r="414" spans="1:5" x14ac:dyDescent="0.25">
      <c r="A414">
        <v>2024</v>
      </c>
      <c r="B414" s="4">
        <v>45413</v>
      </c>
      <c r="C414" t="s">
        <v>111</v>
      </c>
      <c r="D414" t="s">
        <v>30</v>
      </c>
      <c r="E414" s="2">
        <v>0</v>
      </c>
    </row>
    <row r="415" spans="1:5" x14ac:dyDescent="0.25">
      <c r="A415">
        <v>2024</v>
      </c>
      <c r="B415" s="4">
        <v>45444</v>
      </c>
      <c r="C415" t="s">
        <v>111</v>
      </c>
      <c r="D415" t="s">
        <v>30</v>
      </c>
      <c r="E415" s="2">
        <v>0</v>
      </c>
    </row>
    <row r="416" spans="1:5" x14ac:dyDescent="0.25">
      <c r="A416">
        <v>2024</v>
      </c>
      <c r="B416" s="4">
        <v>45474</v>
      </c>
      <c r="C416" t="s">
        <v>111</v>
      </c>
      <c r="D416" t="s">
        <v>30</v>
      </c>
      <c r="E416" s="2">
        <v>0</v>
      </c>
    </row>
    <row r="417" spans="1:5" x14ac:dyDescent="0.25">
      <c r="A417">
        <v>2024</v>
      </c>
      <c r="B417" s="4">
        <v>45505</v>
      </c>
      <c r="C417" t="s">
        <v>111</v>
      </c>
      <c r="D417" t="s">
        <v>30</v>
      </c>
      <c r="E417" s="2">
        <v>0</v>
      </c>
    </row>
    <row r="418" spans="1:5" x14ac:dyDescent="0.25">
      <c r="A418">
        <v>2024</v>
      </c>
      <c r="B418" s="4">
        <v>45536</v>
      </c>
      <c r="C418" t="s">
        <v>111</v>
      </c>
      <c r="D418" t="s">
        <v>30</v>
      </c>
      <c r="E418" s="2">
        <v>0</v>
      </c>
    </row>
    <row r="419" spans="1:5" x14ac:dyDescent="0.25">
      <c r="A419">
        <v>2024</v>
      </c>
      <c r="B419" s="4">
        <v>45566</v>
      </c>
      <c r="C419" t="s">
        <v>111</v>
      </c>
      <c r="D419" t="s">
        <v>30</v>
      </c>
      <c r="E419" s="2">
        <v>0</v>
      </c>
    </row>
    <row r="420" spans="1:5" x14ac:dyDescent="0.25">
      <c r="A420">
        <v>2024</v>
      </c>
      <c r="B420" s="4">
        <v>45597</v>
      </c>
      <c r="C420" t="s">
        <v>111</v>
      </c>
      <c r="D420" t="s">
        <v>30</v>
      </c>
      <c r="E420" s="2">
        <v>0</v>
      </c>
    </row>
    <row r="421" spans="1:5" x14ac:dyDescent="0.25">
      <c r="A421">
        <v>2024</v>
      </c>
      <c r="B421" s="4">
        <v>45627</v>
      </c>
      <c r="C421" t="s">
        <v>111</v>
      </c>
      <c r="D421" t="s">
        <v>30</v>
      </c>
      <c r="E421" s="2">
        <v>0</v>
      </c>
    </row>
    <row r="422" spans="1:5" x14ac:dyDescent="0.25">
      <c r="A422">
        <v>2024</v>
      </c>
      <c r="B422" s="4">
        <v>45292</v>
      </c>
      <c r="C422" t="s">
        <v>112</v>
      </c>
      <c r="D422" t="s">
        <v>46</v>
      </c>
      <c r="E422" s="2">
        <v>1397</v>
      </c>
    </row>
    <row r="423" spans="1:5" x14ac:dyDescent="0.25">
      <c r="A423">
        <v>2024</v>
      </c>
      <c r="B423" s="4">
        <v>45323</v>
      </c>
      <c r="C423" t="s">
        <v>112</v>
      </c>
      <c r="D423" t="s">
        <v>46</v>
      </c>
      <c r="E423" s="2">
        <v>2397</v>
      </c>
    </row>
    <row r="424" spans="1:5" x14ac:dyDescent="0.25">
      <c r="A424">
        <v>2024</v>
      </c>
      <c r="B424" s="4">
        <v>45352</v>
      </c>
      <c r="C424" t="s">
        <v>112</v>
      </c>
      <c r="D424" t="s">
        <v>46</v>
      </c>
      <c r="E424" s="2">
        <v>3397</v>
      </c>
    </row>
    <row r="425" spans="1:5" x14ac:dyDescent="0.25">
      <c r="A425">
        <v>2024</v>
      </c>
      <c r="B425" s="4">
        <v>45383</v>
      </c>
      <c r="C425" t="s">
        <v>112</v>
      </c>
      <c r="D425" t="s">
        <v>46</v>
      </c>
      <c r="E425" s="2">
        <v>2397</v>
      </c>
    </row>
    <row r="426" spans="1:5" x14ac:dyDescent="0.25">
      <c r="A426">
        <v>2024</v>
      </c>
      <c r="B426" s="4">
        <v>45413</v>
      </c>
      <c r="C426" t="s">
        <v>112</v>
      </c>
      <c r="D426" t="s">
        <v>46</v>
      </c>
      <c r="E426" s="2">
        <v>1497</v>
      </c>
    </row>
    <row r="427" spans="1:5" x14ac:dyDescent="0.25">
      <c r="A427">
        <v>2024</v>
      </c>
      <c r="B427" s="4">
        <v>45444</v>
      </c>
      <c r="C427" t="s">
        <v>112</v>
      </c>
      <c r="D427" t="s">
        <v>46</v>
      </c>
      <c r="E427" s="2">
        <v>2397</v>
      </c>
    </row>
    <row r="428" spans="1:5" x14ac:dyDescent="0.25">
      <c r="A428">
        <v>2024</v>
      </c>
      <c r="B428" s="4">
        <v>45474</v>
      </c>
      <c r="C428" t="s">
        <v>112</v>
      </c>
      <c r="D428" t="s">
        <v>46</v>
      </c>
      <c r="E428" s="2">
        <v>2397</v>
      </c>
    </row>
    <row r="429" spans="1:5" x14ac:dyDescent="0.25">
      <c r="A429">
        <v>2024</v>
      </c>
      <c r="B429" s="4">
        <v>45505</v>
      </c>
      <c r="C429" t="s">
        <v>112</v>
      </c>
      <c r="D429" t="s">
        <v>46</v>
      </c>
      <c r="E429" s="2">
        <v>2397</v>
      </c>
    </row>
    <row r="430" spans="1:5" x14ac:dyDescent="0.25">
      <c r="A430">
        <v>2024</v>
      </c>
      <c r="B430" s="4">
        <v>45536</v>
      </c>
      <c r="C430" t="s">
        <v>112</v>
      </c>
      <c r="D430" t="s">
        <v>46</v>
      </c>
      <c r="E430" s="2">
        <v>2397</v>
      </c>
    </row>
    <row r="431" spans="1:5" x14ac:dyDescent="0.25">
      <c r="A431">
        <v>2024</v>
      </c>
      <c r="B431" s="4">
        <v>45566</v>
      </c>
      <c r="C431" t="s">
        <v>112</v>
      </c>
      <c r="D431" t="s">
        <v>46</v>
      </c>
      <c r="E431" s="2">
        <v>2397</v>
      </c>
    </row>
    <row r="432" spans="1:5" x14ac:dyDescent="0.25">
      <c r="A432">
        <v>2024</v>
      </c>
      <c r="B432" s="4">
        <v>45597</v>
      </c>
      <c r="C432" t="s">
        <v>112</v>
      </c>
      <c r="D432" t="s">
        <v>46</v>
      </c>
      <c r="E432" s="2">
        <v>2397</v>
      </c>
    </row>
    <row r="433" spans="1:5" x14ac:dyDescent="0.25">
      <c r="A433">
        <v>2024</v>
      </c>
      <c r="B433" s="4">
        <v>45627</v>
      </c>
      <c r="C433" t="s">
        <v>112</v>
      </c>
      <c r="D433" t="s">
        <v>46</v>
      </c>
      <c r="E433" s="2">
        <v>2397</v>
      </c>
    </row>
    <row r="434" spans="1:5" x14ac:dyDescent="0.25">
      <c r="A434">
        <v>2024</v>
      </c>
      <c r="B434" s="4">
        <v>45292</v>
      </c>
      <c r="C434" t="s">
        <v>112</v>
      </c>
      <c r="D434" t="s">
        <v>26</v>
      </c>
      <c r="E434" s="2">
        <v>4527.5</v>
      </c>
    </row>
    <row r="435" spans="1:5" x14ac:dyDescent="0.25">
      <c r="A435">
        <v>2024</v>
      </c>
      <c r="B435" s="4">
        <v>45323</v>
      </c>
      <c r="C435" t="s">
        <v>112</v>
      </c>
      <c r="D435" t="s">
        <v>26</v>
      </c>
      <c r="E435" s="2">
        <v>7015</v>
      </c>
    </row>
    <row r="436" spans="1:5" x14ac:dyDescent="0.25">
      <c r="A436">
        <v>2024</v>
      </c>
      <c r="B436" s="4">
        <v>45352</v>
      </c>
      <c r="C436" t="s">
        <v>112</v>
      </c>
      <c r="D436" t="s">
        <v>26</v>
      </c>
      <c r="E436" s="2">
        <v>340</v>
      </c>
    </row>
    <row r="437" spans="1:5" x14ac:dyDescent="0.25">
      <c r="A437">
        <v>2024</v>
      </c>
      <c r="B437" s="4">
        <v>45383</v>
      </c>
      <c r="C437" t="s">
        <v>112</v>
      </c>
      <c r="D437" t="s">
        <v>26</v>
      </c>
      <c r="E437" s="2">
        <v>340</v>
      </c>
    </row>
    <row r="438" spans="1:5" x14ac:dyDescent="0.25">
      <c r="A438">
        <v>2024</v>
      </c>
      <c r="B438" s="4">
        <v>45413</v>
      </c>
      <c r="C438" t="s">
        <v>112</v>
      </c>
      <c r="D438" t="s">
        <v>26</v>
      </c>
      <c r="E438" s="2">
        <v>0</v>
      </c>
    </row>
    <row r="439" spans="1:5" x14ac:dyDescent="0.25">
      <c r="A439">
        <v>2024</v>
      </c>
      <c r="B439" s="4">
        <v>45444</v>
      </c>
      <c r="C439" t="s">
        <v>112</v>
      </c>
      <c r="D439" t="s">
        <v>26</v>
      </c>
      <c r="E439" s="2">
        <v>850</v>
      </c>
    </row>
    <row r="440" spans="1:5" x14ac:dyDescent="0.25">
      <c r="A440">
        <v>2024</v>
      </c>
      <c r="B440" s="4">
        <v>45474</v>
      </c>
      <c r="C440" t="s">
        <v>112</v>
      </c>
      <c r="D440" t="s">
        <v>26</v>
      </c>
      <c r="E440" s="2">
        <v>850</v>
      </c>
    </row>
    <row r="441" spans="1:5" x14ac:dyDescent="0.25">
      <c r="A441">
        <v>2024</v>
      </c>
      <c r="B441" s="4">
        <v>45505</v>
      </c>
      <c r="C441" t="s">
        <v>112</v>
      </c>
      <c r="D441" t="s">
        <v>26</v>
      </c>
      <c r="E441" s="2">
        <v>3400</v>
      </c>
    </row>
    <row r="442" spans="1:5" x14ac:dyDescent="0.25">
      <c r="A442">
        <v>2024</v>
      </c>
      <c r="B442" s="4">
        <v>45536</v>
      </c>
      <c r="C442" t="s">
        <v>112</v>
      </c>
      <c r="D442" t="s">
        <v>26</v>
      </c>
      <c r="E442" s="2">
        <v>0</v>
      </c>
    </row>
    <row r="443" spans="1:5" x14ac:dyDescent="0.25">
      <c r="A443">
        <v>2024</v>
      </c>
      <c r="B443" s="4">
        <v>45566</v>
      </c>
      <c r="C443" t="s">
        <v>112</v>
      </c>
      <c r="D443" t="s">
        <v>26</v>
      </c>
      <c r="E443" s="2">
        <v>0</v>
      </c>
    </row>
    <row r="444" spans="1:5" x14ac:dyDescent="0.25">
      <c r="A444">
        <v>2024</v>
      </c>
      <c r="B444" s="4">
        <v>45597</v>
      </c>
      <c r="C444" t="s">
        <v>112</v>
      </c>
      <c r="D444" t="s">
        <v>26</v>
      </c>
      <c r="E444" s="2">
        <v>0</v>
      </c>
    </row>
    <row r="445" spans="1:5" x14ac:dyDescent="0.25">
      <c r="A445">
        <v>2024</v>
      </c>
      <c r="B445" s="4">
        <v>45627</v>
      </c>
      <c r="C445" t="s">
        <v>112</v>
      </c>
      <c r="D445" t="s">
        <v>26</v>
      </c>
      <c r="E445" s="2">
        <v>0</v>
      </c>
    </row>
    <row r="446" spans="1:5" x14ac:dyDescent="0.25">
      <c r="A446">
        <v>2024</v>
      </c>
      <c r="B446" s="4">
        <v>45292</v>
      </c>
      <c r="C446" t="s">
        <v>113</v>
      </c>
      <c r="D446" t="s">
        <v>53</v>
      </c>
      <c r="E446" s="2">
        <v>0</v>
      </c>
    </row>
    <row r="447" spans="1:5" x14ac:dyDescent="0.25">
      <c r="A447">
        <v>2024</v>
      </c>
      <c r="B447" s="4">
        <v>45323</v>
      </c>
      <c r="C447" t="s">
        <v>113</v>
      </c>
      <c r="D447" t="s">
        <v>53</v>
      </c>
      <c r="E447" s="2">
        <v>0</v>
      </c>
    </row>
    <row r="448" spans="1:5" x14ac:dyDescent="0.25">
      <c r="A448">
        <v>2024</v>
      </c>
      <c r="B448" s="4">
        <v>45352</v>
      </c>
      <c r="C448" t="s">
        <v>113</v>
      </c>
      <c r="D448" t="s">
        <v>53</v>
      </c>
      <c r="E448" s="2">
        <v>0</v>
      </c>
    </row>
    <row r="449" spans="1:5" x14ac:dyDescent="0.25">
      <c r="A449">
        <v>2024</v>
      </c>
      <c r="B449" s="4">
        <v>45383</v>
      </c>
      <c r="C449" t="s">
        <v>113</v>
      </c>
      <c r="D449" t="s">
        <v>53</v>
      </c>
      <c r="E449" s="2">
        <v>1243.04</v>
      </c>
    </row>
    <row r="450" spans="1:5" x14ac:dyDescent="0.25">
      <c r="A450">
        <v>2024</v>
      </c>
      <c r="B450" s="4">
        <v>45413</v>
      </c>
      <c r="C450" t="s">
        <v>113</v>
      </c>
      <c r="D450" t="s">
        <v>53</v>
      </c>
      <c r="E450" s="2">
        <v>1243.04</v>
      </c>
    </row>
    <row r="451" spans="1:5" x14ac:dyDescent="0.25">
      <c r="A451">
        <v>2024</v>
      </c>
      <c r="B451" s="4">
        <v>45444</v>
      </c>
      <c r="C451" t="s">
        <v>113</v>
      </c>
      <c r="D451" t="s">
        <v>53</v>
      </c>
      <c r="E451" s="2">
        <v>1243.04</v>
      </c>
    </row>
    <row r="452" spans="1:5" x14ac:dyDescent="0.25">
      <c r="A452">
        <v>2024</v>
      </c>
      <c r="B452" s="4">
        <v>45474</v>
      </c>
      <c r="C452" t="s">
        <v>113</v>
      </c>
      <c r="D452" t="s">
        <v>53</v>
      </c>
      <c r="E452" s="2">
        <v>1243.04</v>
      </c>
    </row>
    <row r="453" spans="1:5" x14ac:dyDescent="0.25">
      <c r="A453">
        <v>2024</v>
      </c>
      <c r="B453" s="4">
        <v>45505</v>
      </c>
      <c r="C453" t="s">
        <v>113</v>
      </c>
      <c r="D453" t="s">
        <v>53</v>
      </c>
      <c r="E453" s="2">
        <v>1243.04</v>
      </c>
    </row>
    <row r="454" spans="1:5" x14ac:dyDescent="0.25">
      <c r="A454">
        <v>2024</v>
      </c>
      <c r="B454" s="4">
        <v>45536</v>
      </c>
      <c r="C454" t="s">
        <v>113</v>
      </c>
      <c r="D454" t="s">
        <v>53</v>
      </c>
      <c r="E454" s="2">
        <v>1243.04</v>
      </c>
    </row>
    <row r="455" spans="1:5" x14ac:dyDescent="0.25">
      <c r="A455">
        <v>2024</v>
      </c>
      <c r="B455" s="4">
        <v>45566</v>
      </c>
      <c r="C455" t="s">
        <v>113</v>
      </c>
      <c r="D455" t="s">
        <v>53</v>
      </c>
      <c r="E455" s="2">
        <v>1243.04</v>
      </c>
    </row>
    <row r="456" spans="1:5" x14ac:dyDescent="0.25">
      <c r="A456">
        <v>2024</v>
      </c>
      <c r="B456" s="4">
        <v>45597</v>
      </c>
      <c r="C456" t="s">
        <v>113</v>
      </c>
      <c r="D456" t="s">
        <v>53</v>
      </c>
      <c r="E456" s="2">
        <v>1243.04</v>
      </c>
    </row>
    <row r="457" spans="1:5" x14ac:dyDescent="0.25">
      <c r="A457">
        <v>2024</v>
      </c>
      <c r="B457" s="4">
        <v>45627</v>
      </c>
      <c r="C457" t="s">
        <v>113</v>
      </c>
      <c r="D457" t="s">
        <v>53</v>
      </c>
      <c r="E457" s="2">
        <v>1243.04</v>
      </c>
    </row>
    <row r="458" spans="1:5" x14ac:dyDescent="0.25">
      <c r="A458">
        <v>2024</v>
      </c>
      <c r="B458" s="4">
        <v>45292</v>
      </c>
      <c r="C458" t="s">
        <v>113</v>
      </c>
      <c r="D458" t="s">
        <v>46</v>
      </c>
      <c r="E458" s="2">
        <v>38.36</v>
      </c>
    </row>
    <row r="459" spans="1:5" x14ac:dyDescent="0.25">
      <c r="A459">
        <v>2024</v>
      </c>
      <c r="B459" s="4">
        <v>45323</v>
      </c>
      <c r="C459" t="s">
        <v>113</v>
      </c>
      <c r="D459" t="s">
        <v>46</v>
      </c>
      <c r="E459" s="2">
        <v>38.36</v>
      </c>
    </row>
    <row r="460" spans="1:5" x14ac:dyDescent="0.25">
      <c r="A460">
        <v>2024</v>
      </c>
      <c r="B460" s="4">
        <v>45352</v>
      </c>
      <c r="C460" t="s">
        <v>113</v>
      </c>
      <c r="D460" t="s">
        <v>46</v>
      </c>
      <c r="E460" s="2">
        <v>38.36</v>
      </c>
    </row>
    <row r="461" spans="1:5" x14ac:dyDescent="0.25">
      <c r="A461">
        <v>2024</v>
      </c>
      <c r="B461" s="4">
        <v>45383</v>
      </c>
      <c r="C461" t="s">
        <v>113</v>
      </c>
      <c r="D461" t="s">
        <v>46</v>
      </c>
      <c r="E461" s="2">
        <v>41.43</v>
      </c>
    </row>
    <row r="462" spans="1:5" x14ac:dyDescent="0.25">
      <c r="A462">
        <v>2024</v>
      </c>
      <c r="B462" s="4">
        <v>45413</v>
      </c>
      <c r="C462" t="s">
        <v>113</v>
      </c>
      <c r="D462" t="s">
        <v>46</v>
      </c>
      <c r="E462" s="2">
        <v>41.43</v>
      </c>
    </row>
    <row r="463" spans="1:5" x14ac:dyDescent="0.25">
      <c r="A463">
        <v>2024</v>
      </c>
      <c r="B463" s="4">
        <v>45444</v>
      </c>
      <c r="C463" t="s">
        <v>113</v>
      </c>
      <c r="D463" t="s">
        <v>46</v>
      </c>
      <c r="E463" s="2">
        <v>41.43</v>
      </c>
    </row>
    <row r="464" spans="1:5" x14ac:dyDescent="0.25">
      <c r="A464">
        <v>2024</v>
      </c>
      <c r="B464" s="4">
        <v>45474</v>
      </c>
      <c r="C464" t="s">
        <v>113</v>
      </c>
      <c r="D464" t="s">
        <v>46</v>
      </c>
      <c r="E464" s="2">
        <v>41.43</v>
      </c>
    </row>
    <row r="465" spans="1:5" x14ac:dyDescent="0.25">
      <c r="A465">
        <v>2024</v>
      </c>
      <c r="B465" s="4">
        <v>45505</v>
      </c>
      <c r="C465" t="s">
        <v>113</v>
      </c>
      <c r="D465" t="s">
        <v>46</v>
      </c>
      <c r="E465" s="2">
        <v>41.43</v>
      </c>
    </row>
    <row r="466" spans="1:5" x14ac:dyDescent="0.25">
      <c r="A466">
        <v>2024</v>
      </c>
      <c r="B466" s="4">
        <v>45536</v>
      </c>
      <c r="C466" t="s">
        <v>113</v>
      </c>
      <c r="D466" t="s">
        <v>46</v>
      </c>
      <c r="E466" s="2">
        <v>41.43</v>
      </c>
    </row>
    <row r="467" spans="1:5" x14ac:dyDescent="0.25">
      <c r="A467">
        <v>2024</v>
      </c>
      <c r="B467" s="4">
        <v>45566</v>
      </c>
      <c r="C467" t="s">
        <v>113</v>
      </c>
      <c r="D467" t="s">
        <v>46</v>
      </c>
      <c r="E467" s="2">
        <v>41.43</v>
      </c>
    </row>
    <row r="468" spans="1:5" x14ac:dyDescent="0.25">
      <c r="A468">
        <v>2024</v>
      </c>
      <c r="B468" s="4">
        <v>45597</v>
      </c>
      <c r="C468" t="s">
        <v>113</v>
      </c>
      <c r="D468" t="s">
        <v>46</v>
      </c>
      <c r="E468" s="2">
        <v>580.83000000000004</v>
      </c>
    </row>
    <row r="469" spans="1:5" x14ac:dyDescent="0.25">
      <c r="A469">
        <v>2024</v>
      </c>
      <c r="B469" s="4">
        <v>45627</v>
      </c>
      <c r="C469" t="s">
        <v>113</v>
      </c>
      <c r="D469" t="s">
        <v>46</v>
      </c>
      <c r="E469" s="2">
        <v>41.43</v>
      </c>
    </row>
    <row r="470" spans="1:5" x14ac:dyDescent="0.25">
      <c r="A470">
        <v>2024</v>
      </c>
      <c r="B470" s="4">
        <v>45292</v>
      </c>
      <c r="C470" t="s">
        <v>113</v>
      </c>
      <c r="D470" t="s">
        <v>25</v>
      </c>
      <c r="E470" s="2">
        <v>38.9</v>
      </c>
    </row>
    <row r="471" spans="1:5" x14ac:dyDescent="0.25">
      <c r="A471">
        <v>2024</v>
      </c>
      <c r="B471" s="4">
        <v>45323</v>
      </c>
      <c r="C471" t="s">
        <v>113</v>
      </c>
      <c r="D471" t="s">
        <v>25</v>
      </c>
      <c r="E471" s="2">
        <v>38.9</v>
      </c>
    </row>
    <row r="472" spans="1:5" x14ac:dyDescent="0.25">
      <c r="A472">
        <v>2024</v>
      </c>
      <c r="B472" s="4">
        <v>45352</v>
      </c>
      <c r="C472" t="s">
        <v>113</v>
      </c>
      <c r="D472" t="s">
        <v>25</v>
      </c>
      <c r="E472" s="2">
        <v>38.9</v>
      </c>
    </row>
    <row r="473" spans="1:5" x14ac:dyDescent="0.25">
      <c r="A473">
        <v>2024</v>
      </c>
      <c r="B473" s="4">
        <v>45383</v>
      </c>
      <c r="C473" t="s">
        <v>113</v>
      </c>
      <c r="D473" t="s">
        <v>25</v>
      </c>
      <c r="E473" s="2">
        <v>38.9</v>
      </c>
    </row>
    <row r="474" spans="1:5" x14ac:dyDescent="0.25">
      <c r="A474">
        <v>2024</v>
      </c>
      <c r="B474" s="4">
        <v>45413</v>
      </c>
      <c r="C474" t="s">
        <v>113</v>
      </c>
      <c r="D474" t="s">
        <v>25</v>
      </c>
      <c r="E474" s="2">
        <v>38.9</v>
      </c>
    </row>
    <row r="475" spans="1:5" x14ac:dyDescent="0.25">
      <c r="A475">
        <v>2024</v>
      </c>
      <c r="B475" s="4">
        <v>45444</v>
      </c>
      <c r="C475" t="s">
        <v>113</v>
      </c>
      <c r="D475" t="s">
        <v>25</v>
      </c>
      <c r="E475" s="2">
        <v>38.9</v>
      </c>
    </row>
    <row r="476" spans="1:5" x14ac:dyDescent="0.25">
      <c r="A476">
        <v>2024</v>
      </c>
      <c r="B476" s="4">
        <v>45474</v>
      </c>
      <c r="C476" t="s">
        <v>113</v>
      </c>
      <c r="D476" t="s">
        <v>25</v>
      </c>
      <c r="E476" s="2">
        <v>38.9</v>
      </c>
    </row>
    <row r="477" spans="1:5" x14ac:dyDescent="0.25">
      <c r="A477">
        <v>2024</v>
      </c>
      <c r="B477" s="4">
        <v>45505</v>
      </c>
      <c r="C477" t="s">
        <v>113</v>
      </c>
      <c r="D477" t="s">
        <v>25</v>
      </c>
      <c r="E477" s="2">
        <v>38.9</v>
      </c>
    </row>
    <row r="478" spans="1:5" x14ac:dyDescent="0.25">
      <c r="A478">
        <v>2024</v>
      </c>
      <c r="B478" s="4">
        <v>45536</v>
      </c>
      <c r="C478" t="s">
        <v>113</v>
      </c>
      <c r="D478" t="s">
        <v>25</v>
      </c>
      <c r="E478" s="2">
        <v>38.9</v>
      </c>
    </row>
    <row r="479" spans="1:5" x14ac:dyDescent="0.25">
      <c r="A479">
        <v>2024</v>
      </c>
      <c r="B479" s="4">
        <v>45566</v>
      </c>
      <c r="C479" t="s">
        <v>113</v>
      </c>
      <c r="D479" t="s">
        <v>25</v>
      </c>
      <c r="E479" s="2">
        <v>38.9</v>
      </c>
    </row>
    <row r="480" spans="1:5" x14ac:dyDescent="0.25">
      <c r="A480">
        <v>2024</v>
      </c>
      <c r="B480" s="4">
        <v>45597</v>
      </c>
      <c r="C480" t="s">
        <v>113</v>
      </c>
      <c r="D480" t="s">
        <v>25</v>
      </c>
      <c r="E480" s="2">
        <v>38.9</v>
      </c>
    </row>
    <row r="481" spans="1:5" x14ac:dyDescent="0.25">
      <c r="A481">
        <v>2024</v>
      </c>
      <c r="B481" s="4">
        <v>45627</v>
      </c>
      <c r="C481" t="s">
        <v>113</v>
      </c>
      <c r="D481" t="s">
        <v>25</v>
      </c>
      <c r="E481" s="2">
        <v>0</v>
      </c>
    </row>
    <row r="482" spans="1:5" x14ac:dyDescent="0.25">
      <c r="A482">
        <v>2024</v>
      </c>
      <c r="B482" s="4">
        <v>45292</v>
      </c>
      <c r="C482" t="s">
        <v>114</v>
      </c>
      <c r="D482" t="s">
        <v>115</v>
      </c>
      <c r="E482" s="2">
        <v>0</v>
      </c>
    </row>
    <row r="483" spans="1:5" x14ac:dyDescent="0.25">
      <c r="A483">
        <v>2024</v>
      </c>
      <c r="B483" s="4">
        <v>45323</v>
      </c>
      <c r="C483" t="s">
        <v>114</v>
      </c>
      <c r="D483" t="s">
        <v>115</v>
      </c>
      <c r="E483" s="2">
        <v>0</v>
      </c>
    </row>
    <row r="484" spans="1:5" x14ac:dyDescent="0.25">
      <c r="A484">
        <v>2024</v>
      </c>
      <c r="B484" s="4">
        <v>45352</v>
      </c>
      <c r="C484" t="s">
        <v>114</v>
      </c>
      <c r="D484" t="s">
        <v>115</v>
      </c>
      <c r="E484" s="2">
        <v>0</v>
      </c>
    </row>
    <row r="485" spans="1:5" x14ac:dyDescent="0.25">
      <c r="A485">
        <v>2024</v>
      </c>
      <c r="B485" s="4">
        <v>45383</v>
      </c>
      <c r="C485" t="s">
        <v>114</v>
      </c>
      <c r="D485" t="s">
        <v>115</v>
      </c>
      <c r="E485" s="2">
        <v>0</v>
      </c>
    </row>
    <row r="486" spans="1:5" x14ac:dyDescent="0.25">
      <c r="A486">
        <v>2024</v>
      </c>
      <c r="B486" s="4">
        <v>45413</v>
      </c>
      <c r="C486" t="s">
        <v>114</v>
      </c>
      <c r="D486" t="s">
        <v>115</v>
      </c>
      <c r="E486" s="2">
        <v>0</v>
      </c>
    </row>
    <row r="487" spans="1:5" x14ac:dyDescent="0.25">
      <c r="A487">
        <v>2024</v>
      </c>
      <c r="B487" s="4">
        <v>45444</v>
      </c>
      <c r="C487" t="s">
        <v>114</v>
      </c>
      <c r="D487" t="s">
        <v>115</v>
      </c>
      <c r="E487" s="2">
        <v>0</v>
      </c>
    </row>
    <row r="488" spans="1:5" x14ac:dyDescent="0.25">
      <c r="A488">
        <v>2024</v>
      </c>
      <c r="B488" s="4">
        <v>45474</v>
      </c>
      <c r="C488" t="s">
        <v>114</v>
      </c>
      <c r="D488" t="s">
        <v>115</v>
      </c>
      <c r="E488" s="2">
        <v>0</v>
      </c>
    </row>
    <row r="489" spans="1:5" x14ac:dyDescent="0.25">
      <c r="A489">
        <v>2024</v>
      </c>
      <c r="B489" s="4">
        <v>45505</v>
      </c>
      <c r="C489" t="s">
        <v>114</v>
      </c>
      <c r="D489" t="s">
        <v>115</v>
      </c>
      <c r="E489" s="2">
        <v>2300.1999999999998</v>
      </c>
    </row>
    <row r="490" spans="1:5" x14ac:dyDescent="0.25">
      <c r="A490">
        <v>2024</v>
      </c>
      <c r="B490" s="4">
        <v>45536</v>
      </c>
      <c r="C490" t="s">
        <v>114</v>
      </c>
      <c r="D490" t="s">
        <v>115</v>
      </c>
      <c r="E490" s="2">
        <v>0</v>
      </c>
    </row>
    <row r="491" spans="1:5" x14ac:dyDescent="0.25">
      <c r="A491">
        <v>2024</v>
      </c>
      <c r="B491" s="4">
        <v>45566</v>
      </c>
      <c r="C491" t="s">
        <v>114</v>
      </c>
      <c r="D491" t="s">
        <v>115</v>
      </c>
      <c r="E491" s="2">
        <v>0</v>
      </c>
    </row>
    <row r="492" spans="1:5" x14ac:dyDescent="0.25">
      <c r="A492">
        <v>2024</v>
      </c>
      <c r="B492" s="4">
        <v>45597</v>
      </c>
      <c r="C492" t="s">
        <v>114</v>
      </c>
      <c r="D492" t="s">
        <v>115</v>
      </c>
      <c r="E492" s="2">
        <v>0</v>
      </c>
    </row>
    <row r="493" spans="1:5" x14ac:dyDescent="0.25">
      <c r="A493">
        <v>2024</v>
      </c>
      <c r="B493" s="4">
        <v>45627</v>
      </c>
      <c r="C493" t="s">
        <v>114</v>
      </c>
      <c r="D493" t="s">
        <v>115</v>
      </c>
      <c r="E493" s="2">
        <v>3342.5</v>
      </c>
    </row>
    <row r="494" spans="1:5" x14ac:dyDescent="0.25">
      <c r="A494">
        <v>2024</v>
      </c>
      <c r="B494" s="4">
        <v>45292</v>
      </c>
      <c r="C494" t="s">
        <v>114</v>
      </c>
      <c r="D494" t="s">
        <v>25</v>
      </c>
      <c r="E494" s="2">
        <v>98.89</v>
      </c>
    </row>
    <row r="495" spans="1:5" x14ac:dyDescent="0.25">
      <c r="A495">
        <v>2024</v>
      </c>
      <c r="B495" s="4">
        <v>45323</v>
      </c>
      <c r="C495" t="s">
        <v>114</v>
      </c>
      <c r="D495" t="s">
        <v>25</v>
      </c>
      <c r="E495" s="2">
        <v>0</v>
      </c>
    </row>
    <row r="496" spans="1:5" x14ac:dyDescent="0.25">
      <c r="A496">
        <v>2024</v>
      </c>
      <c r="B496" s="4">
        <v>45352</v>
      </c>
      <c r="C496" t="s">
        <v>114</v>
      </c>
      <c r="D496" t="s">
        <v>25</v>
      </c>
      <c r="E496" s="2">
        <v>0</v>
      </c>
    </row>
    <row r="497" spans="1:5" x14ac:dyDescent="0.25">
      <c r="A497">
        <v>2024</v>
      </c>
      <c r="B497" s="4">
        <v>45383</v>
      </c>
      <c r="C497" t="s">
        <v>114</v>
      </c>
      <c r="D497" t="s">
        <v>25</v>
      </c>
      <c r="E497" s="2">
        <v>0</v>
      </c>
    </row>
    <row r="498" spans="1:5" x14ac:dyDescent="0.25">
      <c r="A498">
        <v>2024</v>
      </c>
      <c r="B498" s="4">
        <v>45413</v>
      </c>
      <c r="C498" t="s">
        <v>114</v>
      </c>
      <c r="D498" t="s">
        <v>25</v>
      </c>
      <c r="E498" s="2">
        <v>0</v>
      </c>
    </row>
    <row r="499" spans="1:5" x14ac:dyDescent="0.25">
      <c r="A499">
        <v>2024</v>
      </c>
      <c r="B499" s="4">
        <v>45444</v>
      </c>
      <c r="C499" t="s">
        <v>114</v>
      </c>
      <c r="D499" t="s">
        <v>25</v>
      </c>
      <c r="E499" s="2">
        <v>0</v>
      </c>
    </row>
    <row r="500" spans="1:5" x14ac:dyDescent="0.25">
      <c r="A500">
        <v>2024</v>
      </c>
      <c r="B500" s="4">
        <v>45474</v>
      </c>
      <c r="C500" t="s">
        <v>114</v>
      </c>
      <c r="D500" t="s">
        <v>25</v>
      </c>
      <c r="E500" s="2">
        <v>0</v>
      </c>
    </row>
    <row r="501" spans="1:5" x14ac:dyDescent="0.25">
      <c r="A501">
        <v>2024</v>
      </c>
      <c r="B501" s="4">
        <v>45505</v>
      </c>
      <c r="C501" t="s">
        <v>114</v>
      </c>
      <c r="D501" t="s">
        <v>25</v>
      </c>
      <c r="E501" s="2">
        <v>0</v>
      </c>
    </row>
    <row r="502" spans="1:5" x14ac:dyDescent="0.25">
      <c r="A502">
        <v>2024</v>
      </c>
      <c r="B502" s="4">
        <v>45536</v>
      </c>
      <c r="C502" t="s">
        <v>114</v>
      </c>
      <c r="D502" t="s">
        <v>25</v>
      </c>
      <c r="E502" s="2">
        <v>0</v>
      </c>
    </row>
    <row r="503" spans="1:5" x14ac:dyDescent="0.25">
      <c r="A503">
        <v>2024</v>
      </c>
      <c r="B503" s="4">
        <v>45566</v>
      </c>
      <c r="C503" t="s">
        <v>114</v>
      </c>
      <c r="D503" t="s">
        <v>25</v>
      </c>
      <c r="E503" s="2">
        <v>0</v>
      </c>
    </row>
    <row r="504" spans="1:5" x14ac:dyDescent="0.25">
      <c r="A504">
        <v>2024</v>
      </c>
      <c r="B504" s="4">
        <v>45597</v>
      </c>
      <c r="C504" t="s">
        <v>114</v>
      </c>
      <c r="D504" t="s">
        <v>25</v>
      </c>
      <c r="E504" s="2">
        <v>0</v>
      </c>
    </row>
    <row r="505" spans="1:5" x14ac:dyDescent="0.25">
      <c r="A505">
        <v>2024</v>
      </c>
      <c r="B505" s="4">
        <v>45627</v>
      </c>
      <c r="C505" t="s">
        <v>114</v>
      </c>
      <c r="D505" t="s">
        <v>25</v>
      </c>
      <c r="E505" s="2">
        <v>0</v>
      </c>
    </row>
    <row r="506" spans="1:5" x14ac:dyDescent="0.25">
      <c r="A506">
        <v>2024</v>
      </c>
      <c r="B506" s="4">
        <v>45292</v>
      </c>
      <c r="C506" t="s">
        <v>114</v>
      </c>
      <c r="D506" t="s">
        <v>52</v>
      </c>
      <c r="E506" s="2">
        <v>41.9</v>
      </c>
    </row>
    <row r="507" spans="1:5" x14ac:dyDescent="0.25">
      <c r="A507">
        <v>2024</v>
      </c>
      <c r="B507" s="4">
        <v>45323</v>
      </c>
      <c r="C507" t="s">
        <v>114</v>
      </c>
      <c r="D507" t="s">
        <v>52</v>
      </c>
      <c r="E507" s="2">
        <v>0</v>
      </c>
    </row>
    <row r="508" spans="1:5" x14ac:dyDescent="0.25">
      <c r="A508">
        <v>2024</v>
      </c>
      <c r="B508" s="4">
        <v>45352</v>
      </c>
      <c r="C508" t="s">
        <v>114</v>
      </c>
      <c r="D508" t="s">
        <v>52</v>
      </c>
      <c r="E508" s="2">
        <v>0</v>
      </c>
    </row>
    <row r="509" spans="1:5" x14ac:dyDescent="0.25">
      <c r="A509">
        <v>2024</v>
      </c>
      <c r="B509" s="4">
        <v>45383</v>
      </c>
      <c r="C509" t="s">
        <v>114</v>
      </c>
      <c r="D509" t="s">
        <v>52</v>
      </c>
      <c r="E509" s="2">
        <v>0</v>
      </c>
    </row>
    <row r="510" spans="1:5" x14ac:dyDescent="0.25">
      <c r="A510">
        <v>2024</v>
      </c>
      <c r="B510" s="4">
        <v>45413</v>
      </c>
      <c r="C510" t="s">
        <v>114</v>
      </c>
      <c r="D510" t="s">
        <v>52</v>
      </c>
      <c r="E510" s="2">
        <v>0</v>
      </c>
    </row>
    <row r="511" spans="1:5" x14ac:dyDescent="0.25">
      <c r="A511">
        <v>2024</v>
      </c>
      <c r="B511" s="4">
        <v>45444</v>
      </c>
      <c r="C511" t="s">
        <v>114</v>
      </c>
      <c r="D511" t="s">
        <v>52</v>
      </c>
      <c r="E511" s="2">
        <v>0</v>
      </c>
    </row>
    <row r="512" spans="1:5" x14ac:dyDescent="0.25">
      <c r="A512">
        <v>2024</v>
      </c>
      <c r="B512" s="4">
        <v>45474</v>
      </c>
      <c r="C512" t="s">
        <v>114</v>
      </c>
      <c r="D512" t="s">
        <v>52</v>
      </c>
      <c r="E512" s="2">
        <v>0</v>
      </c>
    </row>
    <row r="513" spans="1:5" x14ac:dyDescent="0.25">
      <c r="A513">
        <v>2024</v>
      </c>
      <c r="B513" s="4">
        <v>45505</v>
      </c>
      <c r="C513" t="s">
        <v>114</v>
      </c>
      <c r="D513" t="s">
        <v>52</v>
      </c>
      <c r="E513" s="2">
        <v>0</v>
      </c>
    </row>
    <row r="514" spans="1:5" x14ac:dyDescent="0.25">
      <c r="A514">
        <v>2024</v>
      </c>
      <c r="B514" s="4">
        <v>45536</v>
      </c>
      <c r="C514" t="s">
        <v>114</v>
      </c>
      <c r="D514" t="s">
        <v>52</v>
      </c>
      <c r="E514" s="2">
        <v>0</v>
      </c>
    </row>
    <row r="515" spans="1:5" x14ac:dyDescent="0.25">
      <c r="A515">
        <v>2024</v>
      </c>
      <c r="B515" s="4">
        <v>45566</v>
      </c>
      <c r="C515" t="s">
        <v>114</v>
      </c>
      <c r="D515" t="s">
        <v>52</v>
      </c>
      <c r="E515" s="2">
        <v>0</v>
      </c>
    </row>
    <row r="516" spans="1:5" x14ac:dyDescent="0.25">
      <c r="A516">
        <v>2024</v>
      </c>
      <c r="B516" s="4">
        <v>45597</v>
      </c>
      <c r="C516" t="s">
        <v>114</v>
      </c>
      <c r="D516" t="s">
        <v>52</v>
      </c>
      <c r="E516" s="2">
        <v>0</v>
      </c>
    </row>
    <row r="517" spans="1:5" x14ac:dyDescent="0.25">
      <c r="A517">
        <v>2024</v>
      </c>
      <c r="B517" s="4">
        <v>45627</v>
      </c>
      <c r="C517" t="s">
        <v>114</v>
      </c>
      <c r="D517" t="s">
        <v>52</v>
      </c>
      <c r="E517" s="2">
        <v>0</v>
      </c>
    </row>
    <row r="518" spans="1:5" x14ac:dyDescent="0.25">
      <c r="A518">
        <v>2024</v>
      </c>
      <c r="B518" s="4">
        <v>45292</v>
      </c>
      <c r="C518" t="s">
        <v>114</v>
      </c>
      <c r="D518" t="s">
        <v>51</v>
      </c>
      <c r="E518" s="2">
        <v>2.1800000000000002</v>
      </c>
    </row>
    <row r="519" spans="1:5" x14ac:dyDescent="0.25">
      <c r="A519">
        <v>2024</v>
      </c>
      <c r="B519" s="4">
        <v>45323</v>
      </c>
      <c r="C519" t="s">
        <v>114</v>
      </c>
      <c r="D519" t="s">
        <v>51</v>
      </c>
      <c r="E519" s="2">
        <v>0</v>
      </c>
    </row>
    <row r="520" spans="1:5" x14ac:dyDescent="0.25">
      <c r="A520">
        <v>2024</v>
      </c>
      <c r="B520" s="4">
        <v>45352</v>
      </c>
      <c r="C520" t="s">
        <v>114</v>
      </c>
      <c r="D520" t="s">
        <v>51</v>
      </c>
      <c r="E520" s="2">
        <v>0</v>
      </c>
    </row>
    <row r="521" spans="1:5" x14ac:dyDescent="0.25">
      <c r="A521">
        <v>2024</v>
      </c>
      <c r="B521" s="4">
        <v>45383</v>
      </c>
      <c r="C521" t="s">
        <v>114</v>
      </c>
      <c r="D521" t="s">
        <v>51</v>
      </c>
      <c r="E521" s="2">
        <v>0</v>
      </c>
    </row>
    <row r="522" spans="1:5" x14ac:dyDescent="0.25">
      <c r="A522">
        <v>2024</v>
      </c>
      <c r="B522" s="4">
        <v>45413</v>
      </c>
      <c r="C522" t="s">
        <v>114</v>
      </c>
      <c r="D522" t="s">
        <v>51</v>
      </c>
      <c r="E522" s="2">
        <v>0</v>
      </c>
    </row>
    <row r="523" spans="1:5" x14ac:dyDescent="0.25">
      <c r="A523">
        <v>2024</v>
      </c>
      <c r="B523" s="4">
        <v>45444</v>
      </c>
      <c r="C523" t="s">
        <v>114</v>
      </c>
      <c r="D523" t="s">
        <v>51</v>
      </c>
      <c r="E523" s="2">
        <v>0</v>
      </c>
    </row>
    <row r="524" spans="1:5" x14ac:dyDescent="0.25">
      <c r="A524">
        <v>2024</v>
      </c>
      <c r="B524" s="4">
        <v>45474</v>
      </c>
      <c r="C524" t="s">
        <v>114</v>
      </c>
      <c r="D524" t="s">
        <v>51</v>
      </c>
      <c r="E524" s="2">
        <v>0</v>
      </c>
    </row>
    <row r="525" spans="1:5" x14ac:dyDescent="0.25">
      <c r="A525">
        <v>2024</v>
      </c>
      <c r="B525" s="4">
        <v>45505</v>
      </c>
      <c r="C525" t="s">
        <v>114</v>
      </c>
      <c r="D525" t="s">
        <v>51</v>
      </c>
      <c r="E525" s="2">
        <v>0</v>
      </c>
    </row>
    <row r="526" spans="1:5" x14ac:dyDescent="0.25">
      <c r="A526">
        <v>2024</v>
      </c>
      <c r="B526" s="4">
        <v>45536</v>
      </c>
      <c r="C526" t="s">
        <v>114</v>
      </c>
      <c r="D526" t="s">
        <v>51</v>
      </c>
      <c r="E526" s="2">
        <v>0</v>
      </c>
    </row>
    <row r="527" spans="1:5" x14ac:dyDescent="0.25">
      <c r="A527">
        <v>2024</v>
      </c>
      <c r="B527" s="4">
        <v>45566</v>
      </c>
      <c r="C527" t="s">
        <v>114</v>
      </c>
      <c r="D527" t="s">
        <v>51</v>
      </c>
      <c r="E527" s="2">
        <v>0</v>
      </c>
    </row>
    <row r="528" spans="1:5" x14ac:dyDescent="0.25">
      <c r="A528">
        <v>2024</v>
      </c>
      <c r="B528" s="4">
        <v>45597</v>
      </c>
      <c r="C528" t="s">
        <v>114</v>
      </c>
      <c r="D528" t="s">
        <v>51</v>
      </c>
      <c r="E528" s="2">
        <v>0</v>
      </c>
    </row>
    <row r="529" spans="1:5" x14ac:dyDescent="0.25">
      <c r="A529">
        <v>2024</v>
      </c>
      <c r="B529" s="4">
        <v>45627</v>
      </c>
      <c r="C529" t="s">
        <v>114</v>
      </c>
      <c r="D529" t="s">
        <v>51</v>
      </c>
      <c r="E529" s="2">
        <v>0</v>
      </c>
    </row>
    <row r="530" spans="1:5" x14ac:dyDescent="0.25">
      <c r="A530">
        <v>2025</v>
      </c>
      <c r="B530" s="4">
        <v>45658</v>
      </c>
      <c r="C530" t="s">
        <v>109</v>
      </c>
      <c r="D530" t="s">
        <v>64</v>
      </c>
      <c r="E530" s="2">
        <v>348047.11</v>
      </c>
    </row>
    <row r="531" spans="1:5" x14ac:dyDescent="0.25">
      <c r="A531">
        <v>2025</v>
      </c>
      <c r="B531" s="4">
        <v>45689</v>
      </c>
      <c r="C531" t="s">
        <v>109</v>
      </c>
      <c r="D531" t="s">
        <v>64</v>
      </c>
      <c r="E531" s="2">
        <v>250000</v>
      </c>
    </row>
    <row r="532" spans="1:5" x14ac:dyDescent="0.25">
      <c r="A532">
        <v>2025</v>
      </c>
      <c r="B532" s="4">
        <v>45717</v>
      </c>
      <c r="C532" t="s">
        <v>109</v>
      </c>
      <c r="D532" t="s">
        <v>64</v>
      </c>
      <c r="E532" s="2">
        <v>410000</v>
      </c>
    </row>
    <row r="533" spans="1:5" x14ac:dyDescent="0.25">
      <c r="A533">
        <v>2025</v>
      </c>
      <c r="B533" s="4">
        <v>45748</v>
      </c>
      <c r="C533" t="s">
        <v>109</v>
      </c>
      <c r="D533" t="s">
        <v>64</v>
      </c>
      <c r="E533" s="2">
        <v>290000</v>
      </c>
    </row>
    <row r="534" spans="1:5" x14ac:dyDescent="0.25">
      <c r="A534">
        <v>2025</v>
      </c>
      <c r="B534" s="4">
        <v>45778</v>
      </c>
      <c r="C534" t="s">
        <v>109</v>
      </c>
      <c r="D534" t="s">
        <v>64</v>
      </c>
      <c r="E534" s="2">
        <v>41000</v>
      </c>
    </row>
    <row r="535" spans="1:5" x14ac:dyDescent="0.25">
      <c r="A535">
        <v>2025</v>
      </c>
      <c r="B535" s="4">
        <v>45809</v>
      </c>
      <c r="C535" t="s">
        <v>109</v>
      </c>
      <c r="D535" t="s">
        <v>64</v>
      </c>
      <c r="E535" s="2">
        <v>35000</v>
      </c>
    </row>
    <row r="536" spans="1:5" x14ac:dyDescent="0.25">
      <c r="A536">
        <v>2025</v>
      </c>
      <c r="B536" s="4">
        <v>45839</v>
      </c>
      <c r="C536" t="s">
        <v>109</v>
      </c>
      <c r="D536" t="s">
        <v>64</v>
      </c>
      <c r="E536" s="2">
        <v>40000</v>
      </c>
    </row>
    <row r="537" spans="1:5" x14ac:dyDescent="0.25">
      <c r="A537">
        <v>2025</v>
      </c>
      <c r="B537" s="4">
        <v>45870</v>
      </c>
      <c r="C537" t="s">
        <v>109</v>
      </c>
      <c r="D537" t="s">
        <v>64</v>
      </c>
      <c r="E537" s="2">
        <v>120000</v>
      </c>
    </row>
    <row r="538" spans="1:5" x14ac:dyDescent="0.25">
      <c r="A538">
        <v>2025</v>
      </c>
      <c r="B538" s="4">
        <v>45901</v>
      </c>
      <c r="C538" t="s">
        <v>109</v>
      </c>
      <c r="D538" t="s">
        <v>64</v>
      </c>
      <c r="E538" s="2">
        <v>120000</v>
      </c>
    </row>
    <row r="539" spans="1:5" x14ac:dyDescent="0.25">
      <c r="A539">
        <v>2025</v>
      </c>
      <c r="B539" s="4">
        <v>45931</v>
      </c>
      <c r="C539" t="s">
        <v>109</v>
      </c>
      <c r="D539" t="s">
        <v>64</v>
      </c>
      <c r="E539" s="2">
        <v>46000</v>
      </c>
    </row>
    <row r="540" spans="1:5" x14ac:dyDescent="0.25">
      <c r="A540">
        <v>2025</v>
      </c>
      <c r="B540" s="4">
        <v>45962</v>
      </c>
      <c r="C540" t="s">
        <v>109</v>
      </c>
      <c r="D540" t="s">
        <v>64</v>
      </c>
      <c r="E540" s="2">
        <v>120000</v>
      </c>
    </row>
    <row r="541" spans="1:5" x14ac:dyDescent="0.25">
      <c r="A541">
        <v>2025</v>
      </c>
      <c r="B541" s="4">
        <v>45992</v>
      </c>
      <c r="C541" t="s">
        <v>109</v>
      </c>
      <c r="D541" t="s">
        <v>64</v>
      </c>
      <c r="E541" s="2">
        <v>145000</v>
      </c>
    </row>
    <row r="542" spans="1:5" x14ac:dyDescent="0.25">
      <c r="A542">
        <v>2025</v>
      </c>
      <c r="B542" s="4">
        <v>45658</v>
      </c>
      <c r="C542" t="s">
        <v>111</v>
      </c>
      <c r="D542" t="s">
        <v>24</v>
      </c>
      <c r="E542" s="2">
        <v>16359.35</v>
      </c>
    </row>
    <row r="543" spans="1:5" x14ac:dyDescent="0.25">
      <c r="A543">
        <v>2025</v>
      </c>
      <c r="B543" s="4">
        <v>45689</v>
      </c>
      <c r="C543" t="s">
        <v>111</v>
      </c>
      <c r="D543" t="s">
        <v>24</v>
      </c>
      <c r="E543" s="2">
        <v>90652.37</v>
      </c>
    </row>
    <row r="544" spans="1:5" x14ac:dyDescent="0.25">
      <c r="A544">
        <v>2025</v>
      </c>
      <c r="B544" s="4">
        <v>45717</v>
      </c>
      <c r="C544" t="s">
        <v>111</v>
      </c>
      <c r="D544" t="s">
        <v>24</v>
      </c>
      <c r="E544" s="2">
        <v>44088.82</v>
      </c>
    </row>
    <row r="545" spans="1:5" x14ac:dyDescent="0.25">
      <c r="A545">
        <v>2025</v>
      </c>
      <c r="B545" s="4">
        <v>45748</v>
      </c>
      <c r="C545" t="s">
        <v>111</v>
      </c>
      <c r="D545" t="s">
        <v>24</v>
      </c>
      <c r="E545" s="2">
        <v>40473.79</v>
      </c>
    </row>
    <row r="546" spans="1:5" x14ac:dyDescent="0.25">
      <c r="A546">
        <v>2025</v>
      </c>
      <c r="B546" s="4">
        <v>45778</v>
      </c>
      <c r="C546" t="s">
        <v>111</v>
      </c>
      <c r="D546" t="s">
        <v>24</v>
      </c>
      <c r="E546" s="2">
        <v>52531.47</v>
      </c>
    </row>
    <row r="547" spans="1:5" x14ac:dyDescent="0.25">
      <c r="A547">
        <v>2025</v>
      </c>
      <c r="B547" s="4">
        <v>45809</v>
      </c>
      <c r="C547" t="s">
        <v>111</v>
      </c>
      <c r="D547" t="s">
        <v>24</v>
      </c>
      <c r="E547" s="2">
        <v>13170.39</v>
      </c>
    </row>
    <row r="548" spans="1:5" x14ac:dyDescent="0.25">
      <c r="A548">
        <v>2025</v>
      </c>
      <c r="B548" s="4">
        <v>45839</v>
      </c>
      <c r="C548" t="s">
        <v>111</v>
      </c>
      <c r="D548" t="s">
        <v>24</v>
      </c>
      <c r="E548" s="2">
        <v>8279.2099999999991</v>
      </c>
    </row>
    <row r="549" spans="1:5" x14ac:dyDescent="0.25">
      <c r="A549">
        <v>2025</v>
      </c>
      <c r="B549" s="4">
        <v>45870</v>
      </c>
      <c r="C549" t="s">
        <v>111</v>
      </c>
      <c r="D549" t="s">
        <v>24</v>
      </c>
      <c r="E549" s="2">
        <v>23373.93</v>
      </c>
    </row>
    <row r="550" spans="1:5" x14ac:dyDescent="0.25">
      <c r="A550">
        <v>2025</v>
      </c>
      <c r="B550" s="4">
        <v>45901</v>
      </c>
      <c r="C550" t="s">
        <v>111</v>
      </c>
      <c r="D550" t="s">
        <v>24</v>
      </c>
      <c r="E550" s="2">
        <v>14784.69</v>
      </c>
    </row>
    <row r="551" spans="1:5" x14ac:dyDescent="0.25">
      <c r="A551">
        <v>2025</v>
      </c>
      <c r="B551" s="4">
        <v>45931</v>
      </c>
      <c r="C551" t="s">
        <v>111</v>
      </c>
      <c r="D551" t="s">
        <v>24</v>
      </c>
      <c r="E551" s="2">
        <v>22824.65</v>
      </c>
    </row>
    <row r="552" spans="1:5" x14ac:dyDescent="0.25">
      <c r="A552">
        <v>2025</v>
      </c>
      <c r="B552" s="4">
        <v>45962</v>
      </c>
      <c r="C552" t="s">
        <v>111</v>
      </c>
      <c r="D552" t="s">
        <v>24</v>
      </c>
      <c r="E552" s="2">
        <v>15213.47</v>
      </c>
    </row>
    <row r="553" spans="1:5" x14ac:dyDescent="0.25">
      <c r="A553">
        <v>2025</v>
      </c>
      <c r="B553" s="4">
        <v>45992</v>
      </c>
      <c r="C553" t="s">
        <v>111</v>
      </c>
      <c r="D553" t="s">
        <v>24</v>
      </c>
      <c r="E553" s="2">
        <v>31391.119999999999</v>
      </c>
    </row>
    <row r="554" spans="1:5" x14ac:dyDescent="0.25">
      <c r="A554">
        <v>2025</v>
      </c>
      <c r="B554" s="4">
        <v>45658</v>
      </c>
      <c r="C554" t="s">
        <v>111</v>
      </c>
      <c r="D554" t="s">
        <v>30</v>
      </c>
      <c r="E554" s="2">
        <v>0</v>
      </c>
    </row>
    <row r="555" spans="1:5" x14ac:dyDescent="0.25">
      <c r="A555">
        <v>2025</v>
      </c>
      <c r="B555" s="4">
        <v>45689</v>
      </c>
      <c r="C555" t="s">
        <v>111</v>
      </c>
      <c r="D555" t="s">
        <v>30</v>
      </c>
      <c r="E555" s="2">
        <v>0</v>
      </c>
    </row>
    <row r="556" spans="1:5" x14ac:dyDescent="0.25">
      <c r="A556">
        <v>2025</v>
      </c>
      <c r="B556" s="4">
        <v>45717</v>
      </c>
      <c r="C556" t="s">
        <v>111</v>
      </c>
      <c r="D556" t="s">
        <v>30</v>
      </c>
      <c r="E556" s="2">
        <v>0</v>
      </c>
    </row>
    <row r="557" spans="1:5" x14ac:dyDescent="0.25">
      <c r="A557">
        <v>2025</v>
      </c>
      <c r="B557" s="4">
        <v>45748</v>
      </c>
      <c r="C557" t="s">
        <v>111</v>
      </c>
      <c r="D557" t="s">
        <v>30</v>
      </c>
      <c r="E557" s="2">
        <v>0</v>
      </c>
    </row>
    <row r="558" spans="1:5" x14ac:dyDescent="0.25">
      <c r="A558">
        <v>2025</v>
      </c>
      <c r="B558" s="4">
        <v>45778</v>
      </c>
      <c r="C558" t="s">
        <v>111</v>
      </c>
      <c r="D558" t="s">
        <v>30</v>
      </c>
      <c r="E558" s="2">
        <v>0</v>
      </c>
    </row>
    <row r="559" spans="1:5" x14ac:dyDescent="0.25">
      <c r="A559">
        <v>2025</v>
      </c>
      <c r="B559" s="4">
        <v>45809</v>
      </c>
      <c r="C559" t="s">
        <v>111</v>
      </c>
      <c r="D559" t="s">
        <v>30</v>
      </c>
      <c r="E559" s="2">
        <v>46</v>
      </c>
    </row>
    <row r="560" spans="1:5" x14ac:dyDescent="0.25">
      <c r="A560">
        <v>2025</v>
      </c>
      <c r="B560" s="4">
        <v>45839</v>
      </c>
      <c r="C560" t="s">
        <v>111</v>
      </c>
      <c r="D560" t="s">
        <v>30</v>
      </c>
      <c r="E560" s="2">
        <v>210.85</v>
      </c>
    </row>
    <row r="561" spans="1:5" x14ac:dyDescent="0.25">
      <c r="A561">
        <v>2025</v>
      </c>
      <c r="B561" s="4">
        <v>45870</v>
      </c>
      <c r="C561" t="s">
        <v>111</v>
      </c>
      <c r="D561" t="s">
        <v>30</v>
      </c>
      <c r="E561" s="2">
        <v>0</v>
      </c>
    </row>
    <row r="562" spans="1:5" x14ac:dyDescent="0.25">
      <c r="A562">
        <v>2025</v>
      </c>
      <c r="B562" s="4">
        <v>45901</v>
      </c>
      <c r="C562" t="s">
        <v>111</v>
      </c>
      <c r="D562" t="s">
        <v>30</v>
      </c>
      <c r="E562" s="2">
        <v>0</v>
      </c>
    </row>
    <row r="563" spans="1:5" x14ac:dyDescent="0.25">
      <c r="A563">
        <v>2025</v>
      </c>
      <c r="B563" s="4">
        <v>45931</v>
      </c>
      <c r="C563" t="s">
        <v>111</v>
      </c>
      <c r="D563" t="s">
        <v>30</v>
      </c>
      <c r="E563" s="2">
        <v>362.68</v>
      </c>
    </row>
    <row r="564" spans="1:5" x14ac:dyDescent="0.25">
      <c r="A564">
        <v>2025</v>
      </c>
      <c r="B564" s="4">
        <v>45962</v>
      </c>
      <c r="C564" t="s">
        <v>111</v>
      </c>
      <c r="D564" t="s">
        <v>30</v>
      </c>
      <c r="E564" s="2">
        <v>506.06</v>
      </c>
    </row>
    <row r="565" spans="1:5" x14ac:dyDescent="0.25">
      <c r="A565">
        <v>2025</v>
      </c>
      <c r="B565" s="4">
        <v>45992</v>
      </c>
      <c r="C565" t="s">
        <v>111</v>
      </c>
      <c r="D565" t="s">
        <v>30</v>
      </c>
      <c r="E565" s="2">
        <v>569.29999999999995</v>
      </c>
    </row>
    <row r="566" spans="1:5" x14ac:dyDescent="0.25">
      <c r="A566">
        <v>2025</v>
      </c>
      <c r="B566" s="4">
        <v>45658</v>
      </c>
      <c r="C566" t="s">
        <v>110</v>
      </c>
      <c r="D566" t="s">
        <v>35</v>
      </c>
      <c r="E566" s="2">
        <v>7404.87</v>
      </c>
    </row>
    <row r="567" spans="1:5" x14ac:dyDescent="0.25">
      <c r="A567">
        <v>2025</v>
      </c>
      <c r="B567" s="4">
        <v>45689</v>
      </c>
      <c r="C567" t="s">
        <v>110</v>
      </c>
      <c r="D567" t="s">
        <v>35</v>
      </c>
      <c r="E567" s="2">
        <v>13766.91</v>
      </c>
    </row>
    <row r="568" spans="1:5" x14ac:dyDescent="0.25">
      <c r="A568">
        <v>2025</v>
      </c>
      <c r="B568" s="4">
        <v>45717</v>
      </c>
      <c r="C568" t="s">
        <v>110</v>
      </c>
      <c r="D568" t="s">
        <v>35</v>
      </c>
      <c r="E568" s="2">
        <v>1200</v>
      </c>
    </row>
    <row r="569" spans="1:5" x14ac:dyDescent="0.25">
      <c r="A569">
        <v>2025</v>
      </c>
      <c r="B569" s="4">
        <v>45748</v>
      </c>
      <c r="C569" t="s">
        <v>110</v>
      </c>
      <c r="D569" t="s">
        <v>35</v>
      </c>
      <c r="E569" s="2">
        <v>7474.05</v>
      </c>
    </row>
    <row r="570" spans="1:5" x14ac:dyDescent="0.25">
      <c r="A570">
        <v>2025</v>
      </c>
      <c r="B570" s="4">
        <v>45778</v>
      </c>
      <c r="C570" t="s">
        <v>110</v>
      </c>
      <c r="D570" t="s">
        <v>35</v>
      </c>
      <c r="E570" s="2">
        <v>7458.04</v>
      </c>
    </row>
    <row r="571" spans="1:5" x14ac:dyDescent="0.25">
      <c r="A571">
        <v>2025</v>
      </c>
      <c r="B571" s="4">
        <v>45809</v>
      </c>
      <c r="C571" t="s">
        <v>110</v>
      </c>
      <c r="D571" t="s">
        <v>35</v>
      </c>
      <c r="E571" s="2">
        <v>8958.0400000000009</v>
      </c>
    </row>
    <row r="572" spans="1:5" x14ac:dyDescent="0.25">
      <c r="A572">
        <v>2025</v>
      </c>
      <c r="B572" s="4">
        <v>45839</v>
      </c>
      <c r="C572" t="s">
        <v>110</v>
      </c>
      <c r="D572" t="s">
        <v>35</v>
      </c>
      <c r="E572" s="2">
        <v>8963.34</v>
      </c>
    </row>
    <row r="573" spans="1:5" x14ac:dyDescent="0.25">
      <c r="A573">
        <v>2025</v>
      </c>
      <c r="B573" s="4">
        <v>45870</v>
      </c>
      <c r="C573" t="s">
        <v>110</v>
      </c>
      <c r="D573" t="s">
        <v>35</v>
      </c>
      <c r="E573" s="2">
        <v>9491.17</v>
      </c>
    </row>
    <row r="574" spans="1:5" x14ac:dyDescent="0.25">
      <c r="A574">
        <v>2025</v>
      </c>
      <c r="B574" s="4">
        <v>45901</v>
      </c>
      <c r="C574" t="s">
        <v>110</v>
      </c>
      <c r="D574" t="s">
        <v>35</v>
      </c>
      <c r="E574" s="2">
        <v>24486.13</v>
      </c>
    </row>
    <row r="575" spans="1:5" x14ac:dyDescent="0.25">
      <c r="A575">
        <v>2025</v>
      </c>
      <c r="B575" s="4">
        <v>45931</v>
      </c>
      <c r="C575" t="s">
        <v>110</v>
      </c>
      <c r="D575" t="s">
        <v>35</v>
      </c>
      <c r="E575" s="2">
        <v>3195.44</v>
      </c>
    </row>
    <row r="576" spans="1:5" x14ac:dyDescent="0.25">
      <c r="A576">
        <v>2025</v>
      </c>
      <c r="B576" s="4">
        <v>45962</v>
      </c>
      <c r="C576" t="s">
        <v>110</v>
      </c>
      <c r="D576" t="s">
        <v>35</v>
      </c>
      <c r="E576" s="2">
        <v>8678.57</v>
      </c>
    </row>
    <row r="577" spans="1:5" x14ac:dyDescent="0.25">
      <c r="A577">
        <v>2025</v>
      </c>
      <c r="B577" s="4">
        <v>45992</v>
      </c>
      <c r="C577" t="s">
        <v>110</v>
      </c>
      <c r="D577" t="s">
        <v>35</v>
      </c>
      <c r="E577" s="2">
        <v>9678.57</v>
      </c>
    </row>
    <row r="578" spans="1:5" x14ac:dyDescent="0.25">
      <c r="A578">
        <v>2025</v>
      </c>
      <c r="B578" s="4">
        <v>45658</v>
      </c>
      <c r="C578" t="s">
        <v>110</v>
      </c>
      <c r="D578" t="s">
        <v>40</v>
      </c>
      <c r="E578" s="2">
        <v>1650</v>
      </c>
    </row>
    <row r="579" spans="1:5" x14ac:dyDescent="0.25">
      <c r="A579">
        <v>2025</v>
      </c>
      <c r="B579" s="4">
        <v>45689</v>
      </c>
      <c r="C579" t="s">
        <v>110</v>
      </c>
      <c r="D579" t="s">
        <v>40</v>
      </c>
      <c r="E579" s="2">
        <v>1430</v>
      </c>
    </row>
    <row r="580" spans="1:5" x14ac:dyDescent="0.25">
      <c r="A580">
        <v>2025</v>
      </c>
      <c r="B580" s="4">
        <v>45717</v>
      </c>
      <c r="C580" t="s">
        <v>110</v>
      </c>
      <c r="D580" t="s">
        <v>40</v>
      </c>
      <c r="E580" s="2">
        <v>3300</v>
      </c>
    </row>
    <row r="581" spans="1:5" x14ac:dyDescent="0.25">
      <c r="A581">
        <v>2025</v>
      </c>
      <c r="B581" s="4">
        <v>45748</v>
      </c>
      <c r="C581" t="s">
        <v>110</v>
      </c>
      <c r="D581" t="s">
        <v>40</v>
      </c>
      <c r="E581" s="2">
        <v>1732.5</v>
      </c>
    </row>
    <row r="582" spans="1:5" x14ac:dyDescent="0.25">
      <c r="A582">
        <v>2025</v>
      </c>
      <c r="B582" s="4">
        <v>45778</v>
      </c>
      <c r="C582" t="s">
        <v>110</v>
      </c>
      <c r="D582" t="s">
        <v>40</v>
      </c>
      <c r="E582" s="2">
        <v>3005</v>
      </c>
    </row>
    <row r="583" spans="1:5" x14ac:dyDescent="0.25">
      <c r="A583">
        <v>2025</v>
      </c>
      <c r="B583" s="4">
        <v>45809</v>
      </c>
      <c r="C583" t="s">
        <v>110</v>
      </c>
      <c r="D583" t="s">
        <v>40</v>
      </c>
      <c r="E583" s="2">
        <v>2502.5</v>
      </c>
    </row>
    <row r="584" spans="1:5" x14ac:dyDescent="0.25">
      <c r="A584">
        <v>2025</v>
      </c>
      <c r="B584" s="4">
        <v>45839</v>
      </c>
      <c r="C584" t="s">
        <v>110</v>
      </c>
      <c r="D584" t="s">
        <v>40</v>
      </c>
      <c r="E584" s="2">
        <v>3850</v>
      </c>
    </row>
    <row r="585" spans="1:5" x14ac:dyDescent="0.25">
      <c r="A585">
        <v>2025</v>
      </c>
      <c r="B585" s="4">
        <v>45870</v>
      </c>
      <c r="C585" t="s">
        <v>110</v>
      </c>
      <c r="D585" t="s">
        <v>40</v>
      </c>
      <c r="E585" s="2">
        <v>2420</v>
      </c>
    </row>
    <row r="586" spans="1:5" x14ac:dyDescent="0.25">
      <c r="A586">
        <v>2025</v>
      </c>
      <c r="B586" s="4">
        <v>45901</v>
      </c>
      <c r="C586" t="s">
        <v>110</v>
      </c>
      <c r="D586" t="s">
        <v>40</v>
      </c>
      <c r="E586" s="2">
        <v>4431.25</v>
      </c>
    </row>
    <row r="587" spans="1:5" x14ac:dyDescent="0.25">
      <c r="A587">
        <v>2025</v>
      </c>
      <c r="B587" s="4">
        <v>45931</v>
      </c>
      <c r="C587" t="s">
        <v>110</v>
      </c>
      <c r="D587" t="s">
        <v>40</v>
      </c>
      <c r="E587" s="2">
        <v>3073.75</v>
      </c>
    </row>
    <row r="588" spans="1:5" x14ac:dyDescent="0.25">
      <c r="A588">
        <v>2025</v>
      </c>
      <c r="B588" s="4">
        <v>45962</v>
      </c>
      <c r="C588" t="s">
        <v>110</v>
      </c>
      <c r="D588" t="s">
        <v>40</v>
      </c>
      <c r="E588" s="2">
        <v>2420</v>
      </c>
    </row>
    <row r="589" spans="1:5" x14ac:dyDescent="0.25">
      <c r="A589">
        <v>2025</v>
      </c>
      <c r="B589" s="4">
        <v>45992</v>
      </c>
      <c r="C589" t="s">
        <v>110</v>
      </c>
      <c r="D589" t="s">
        <v>40</v>
      </c>
      <c r="E589" s="2">
        <v>2299</v>
      </c>
    </row>
    <row r="590" spans="1:5" x14ac:dyDescent="0.25">
      <c r="A590">
        <v>2025</v>
      </c>
      <c r="B590" s="4">
        <v>45658</v>
      </c>
      <c r="C590" t="s">
        <v>110</v>
      </c>
      <c r="D590" t="s">
        <v>28</v>
      </c>
      <c r="E590" s="2">
        <v>1412</v>
      </c>
    </row>
    <row r="591" spans="1:5" x14ac:dyDescent="0.25">
      <c r="A591">
        <v>2025</v>
      </c>
      <c r="B591" s="4">
        <v>45689</v>
      </c>
      <c r="C591" t="s">
        <v>110</v>
      </c>
      <c r="D591" t="s">
        <v>28</v>
      </c>
      <c r="E591" s="2">
        <v>2783</v>
      </c>
    </row>
    <row r="592" spans="1:5" x14ac:dyDescent="0.25">
      <c r="A592">
        <v>2025</v>
      </c>
      <c r="B592" s="4">
        <v>45717</v>
      </c>
      <c r="C592" t="s">
        <v>110</v>
      </c>
      <c r="D592" t="s">
        <v>28</v>
      </c>
      <c r="E592" s="2">
        <v>0</v>
      </c>
    </row>
    <row r="593" spans="1:5" x14ac:dyDescent="0.25">
      <c r="A593">
        <v>2025</v>
      </c>
      <c r="B593" s="4">
        <v>45748</v>
      </c>
      <c r="C593" t="s">
        <v>110</v>
      </c>
      <c r="D593" t="s">
        <v>28</v>
      </c>
      <c r="E593" s="2">
        <v>1518</v>
      </c>
    </row>
    <row r="594" spans="1:5" x14ac:dyDescent="0.25">
      <c r="A594">
        <v>2025</v>
      </c>
      <c r="B594" s="4">
        <v>45778</v>
      </c>
      <c r="C594" t="s">
        <v>110</v>
      </c>
      <c r="D594" t="s">
        <v>28</v>
      </c>
      <c r="E594" s="2">
        <v>1518</v>
      </c>
    </row>
    <row r="595" spans="1:5" x14ac:dyDescent="0.25">
      <c r="A595">
        <v>2025</v>
      </c>
      <c r="B595" s="4">
        <v>45809</v>
      </c>
      <c r="C595" t="s">
        <v>110</v>
      </c>
      <c r="D595" t="s">
        <v>28</v>
      </c>
      <c r="E595" s="2">
        <v>1771</v>
      </c>
    </row>
    <row r="596" spans="1:5" x14ac:dyDescent="0.25">
      <c r="A596">
        <v>2025</v>
      </c>
      <c r="B596" s="4">
        <v>45839</v>
      </c>
      <c r="C596" t="s">
        <v>110</v>
      </c>
      <c r="D596" t="s">
        <v>28</v>
      </c>
      <c r="E596" s="2">
        <v>3036</v>
      </c>
    </row>
    <row r="597" spans="1:5" x14ac:dyDescent="0.25">
      <c r="A597">
        <v>2025</v>
      </c>
      <c r="B597" s="4">
        <v>45870</v>
      </c>
      <c r="C597" t="s">
        <v>110</v>
      </c>
      <c r="D597" t="s">
        <v>28</v>
      </c>
      <c r="E597" s="2">
        <v>2277</v>
      </c>
    </row>
    <row r="598" spans="1:5" x14ac:dyDescent="0.25">
      <c r="A598">
        <v>2025</v>
      </c>
      <c r="B598" s="4">
        <v>45901</v>
      </c>
      <c r="C598" t="s">
        <v>110</v>
      </c>
      <c r="D598" t="s">
        <v>28</v>
      </c>
      <c r="E598" s="2">
        <v>3036</v>
      </c>
    </row>
    <row r="599" spans="1:5" x14ac:dyDescent="0.25">
      <c r="A599">
        <v>2025</v>
      </c>
      <c r="B599" s="4">
        <v>45931</v>
      </c>
      <c r="C599" t="s">
        <v>110</v>
      </c>
      <c r="D599" t="s">
        <v>28</v>
      </c>
      <c r="E599" s="2">
        <v>3036</v>
      </c>
    </row>
    <row r="600" spans="1:5" x14ac:dyDescent="0.25">
      <c r="A600">
        <v>2025</v>
      </c>
      <c r="B600" s="4">
        <v>45962</v>
      </c>
      <c r="C600" t="s">
        <v>110</v>
      </c>
      <c r="D600" t="s">
        <v>28</v>
      </c>
      <c r="E600" s="2">
        <v>3036</v>
      </c>
    </row>
    <row r="601" spans="1:5" x14ac:dyDescent="0.25">
      <c r="A601">
        <v>2025</v>
      </c>
      <c r="B601" s="4">
        <v>45992</v>
      </c>
      <c r="C601" t="s">
        <v>110</v>
      </c>
      <c r="D601" t="s">
        <v>28</v>
      </c>
      <c r="E601" s="2">
        <v>1518</v>
      </c>
    </row>
    <row r="602" spans="1:5" x14ac:dyDescent="0.25">
      <c r="A602">
        <v>2025</v>
      </c>
      <c r="B602" s="4">
        <v>45658</v>
      </c>
      <c r="C602" t="s">
        <v>110</v>
      </c>
      <c r="D602" t="s">
        <v>37</v>
      </c>
      <c r="E602" s="2">
        <v>0</v>
      </c>
    </row>
    <row r="603" spans="1:5" x14ac:dyDescent="0.25">
      <c r="A603">
        <v>2025</v>
      </c>
      <c r="B603" s="4">
        <v>45689</v>
      </c>
      <c r="C603" t="s">
        <v>110</v>
      </c>
      <c r="D603" t="s">
        <v>37</v>
      </c>
      <c r="E603" s="2">
        <v>0</v>
      </c>
    </row>
    <row r="604" spans="1:5" x14ac:dyDescent="0.25">
      <c r="A604">
        <v>2025</v>
      </c>
      <c r="B604" s="4">
        <v>45717</v>
      </c>
      <c r="C604" t="s">
        <v>110</v>
      </c>
      <c r="D604" t="s">
        <v>37</v>
      </c>
      <c r="E604" s="2">
        <v>0</v>
      </c>
    </row>
    <row r="605" spans="1:5" x14ac:dyDescent="0.25">
      <c r="A605">
        <v>2025</v>
      </c>
      <c r="B605" s="4">
        <v>45748</v>
      </c>
      <c r="C605" t="s">
        <v>110</v>
      </c>
      <c r="D605" t="s">
        <v>37</v>
      </c>
      <c r="E605" s="2">
        <v>0</v>
      </c>
    </row>
    <row r="606" spans="1:5" x14ac:dyDescent="0.25">
      <c r="A606">
        <v>2025</v>
      </c>
      <c r="B606" s="4">
        <v>45778</v>
      </c>
      <c r="C606" t="s">
        <v>110</v>
      </c>
      <c r="D606" t="s">
        <v>37</v>
      </c>
      <c r="E606" s="2">
        <v>0</v>
      </c>
    </row>
    <row r="607" spans="1:5" x14ac:dyDescent="0.25">
      <c r="A607">
        <v>2025</v>
      </c>
      <c r="B607" s="4">
        <v>45809</v>
      </c>
      <c r="C607" t="s">
        <v>110</v>
      </c>
      <c r="D607" t="s">
        <v>37</v>
      </c>
      <c r="E607" s="2">
        <v>1681.11</v>
      </c>
    </row>
    <row r="608" spans="1:5" x14ac:dyDescent="0.25">
      <c r="A608">
        <v>2025</v>
      </c>
      <c r="B608" s="4">
        <v>45839</v>
      </c>
      <c r="C608" t="s">
        <v>110</v>
      </c>
      <c r="D608" t="s">
        <v>37</v>
      </c>
      <c r="E608" s="2">
        <v>0</v>
      </c>
    </row>
    <row r="609" spans="1:5" x14ac:dyDescent="0.25">
      <c r="A609">
        <v>2025</v>
      </c>
      <c r="B609" s="4">
        <v>45870</v>
      </c>
      <c r="C609" t="s">
        <v>110</v>
      </c>
      <c r="D609" t="s">
        <v>37</v>
      </c>
      <c r="E609" s="2">
        <v>0</v>
      </c>
    </row>
    <row r="610" spans="1:5" x14ac:dyDescent="0.25">
      <c r="A610">
        <v>2025</v>
      </c>
      <c r="B610" s="4">
        <v>45901</v>
      </c>
      <c r="C610" t="s">
        <v>110</v>
      </c>
      <c r="D610" t="s">
        <v>37</v>
      </c>
      <c r="E610" s="2">
        <v>0</v>
      </c>
    </row>
    <row r="611" spans="1:5" x14ac:dyDescent="0.25">
      <c r="A611">
        <v>2025</v>
      </c>
      <c r="B611" s="4">
        <v>45931</v>
      </c>
      <c r="C611" t="s">
        <v>110</v>
      </c>
      <c r="D611" t="s">
        <v>37</v>
      </c>
      <c r="E611" s="2">
        <v>5433.5</v>
      </c>
    </row>
    <row r="612" spans="1:5" x14ac:dyDescent="0.25">
      <c r="A612">
        <v>2025</v>
      </c>
      <c r="B612" s="4">
        <v>45962</v>
      </c>
      <c r="C612" t="s">
        <v>110</v>
      </c>
      <c r="D612" t="s">
        <v>37</v>
      </c>
      <c r="E612" s="2">
        <v>5759</v>
      </c>
    </row>
    <row r="613" spans="1:5" x14ac:dyDescent="0.25">
      <c r="A613">
        <v>2025</v>
      </c>
      <c r="B613" s="4">
        <v>45992</v>
      </c>
      <c r="C613" t="s">
        <v>110</v>
      </c>
      <c r="D613" t="s">
        <v>37</v>
      </c>
      <c r="E613" s="2">
        <v>5759</v>
      </c>
    </row>
    <row r="614" spans="1:5" x14ac:dyDescent="0.25">
      <c r="A614">
        <v>2025</v>
      </c>
      <c r="B614" s="4">
        <v>45658</v>
      </c>
      <c r="C614" t="s">
        <v>110</v>
      </c>
      <c r="D614" t="s">
        <v>41</v>
      </c>
      <c r="E614" s="2">
        <v>1206.3</v>
      </c>
    </row>
    <row r="615" spans="1:5" x14ac:dyDescent="0.25">
      <c r="A615">
        <v>2025</v>
      </c>
      <c r="B615" s="4">
        <v>45689</v>
      </c>
      <c r="C615" t="s">
        <v>110</v>
      </c>
      <c r="D615" t="s">
        <v>41</v>
      </c>
      <c r="E615" s="2">
        <v>1040.0999999999999</v>
      </c>
    </row>
    <row r="616" spans="1:5" x14ac:dyDescent="0.25">
      <c r="A616">
        <v>2025</v>
      </c>
      <c r="B616" s="4">
        <v>45717</v>
      </c>
      <c r="C616" t="s">
        <v>110</v>
      </c>
      <c r="D616" t="s">
        <v>41</v>
      </c>
      <c r="E616" s="2">
        <v>1058.2</v>
      </c>
    </row>
    <row r="617" spans="1:5" x14ac:dyDescent="0.25">
      <c r="A617">
        <v>2025</v>
      </c>
      <c r="B617" s="4">
        <v>45748</v>
      </c>
      <c r="C617" t="s">
        <v>110</v>
      </c>
      <c r="D617" t="s">
        <v>41</v>
      </c>
      <c r="E617" s="2">
        <v>1166.2</v>
      </c>
    </row>
    <row r="618" spans="1:5" x14ac:dyDescent="0.25">
      <c r="A618">
        <v>2025</v>
      </c>
      <c r="B618" s="4">
        <v>45778</v>
      </c>
      <c r="C618" t="s">
        <v>110</v>
      </c>
      <c r="D618" t="s">
        <v>41</v>
      </c>
      <c r="E618" s="2">
        <v>1868.6</v>
      </c>
    </row>
    <row r="619" spans="1:5" x14ac:dyDescent="0.25">
      <c r="A619">
        <v>2025</v>
      </c>
      <c r="B619" s="4">
        <v>45809</v>
      </c>
      <c r="C619" t="s">
        <v>110</v>
      </c>
      <c r="D619" t="s">
        <v>41</v>
      </c>
      <c r="E619" s="2">
        <v>1471.4</v>
      </c>
    </row>
    <row r="620" spans="1:5" x14ac:dyDescent="0.25">
      <c r="A620">
        <v>2025</v>
      </c>
      <c r="B620" s="4">
        <v>45839</v>
      </c>
      <c r="C620" t="s">
        <v>110</v>
      </c>
      <c r="D620" t="s">
        <v>41</v>
      </c>
      <c r="E620" s="2">
        <v>1212.5999999999999</v>
      </c>
    </row>
    <row r="621" spans="1:5" x14ac:dyDescent="0.25">
      <c r="A621">
        <v>2025</v>
      </c>
      <c r="B621" s="4">
        <v>45870</v>
      </c>
      <c r="C621" t="s">
        <v>110</v>
      </c>
      <c r="D621" t="s">
        <v>41</v>
      </c>
      <c r="E621" s="2">
        <v>1413.9</v>
      </c>
    </row>
    <row r="622" spans="1:5" x14ac:dyDescent="0.25">
      <c r="A622">
        <v>2025</v>
      </c>
      <c r="B622" s="4">
        <v>45901</v>
      </c>
      <c r="C622" t="s">
        <v>110</v>
      </c>
      <c r="D622" t="s">
        <v>41</v>
      </c>
      <c r="E622" s="2">
        <v>2493.6</v>
      </c>
    </row>
    <row r="623" spans="1:5" x14ac:dyDescent="0.25">
      <c r="A623">
        <v>2025</v>
      </c>
      <c r="B623" s="4">
        <v>45931</v>
      </c>
      <c r="C623" t="s">
        <v>110</v>
      </c>
      <c r="D623" t="s">
        <v>41</v>
      </c>
      <c r="E623" s="2">
        <v>1623.6</v>
      </c>
    </row>
    <row r="624" spans="1:5" x14ac:dyDescent="0.25">
      <c r="A624">
        <v>2025</v>
      </c>
      <c r="B624" s="4">
        <v>45962</v>
      </c>
      <c r="C624" t="s">
        <v>110</v>
      </c>
      <c r="D624" t="s">
        <v>41</v>
      </c>
      <c r="E624" s="2">
        <v>1384.6</v>
      </c>
    </row>
    <row r="625" spans="1:5" x14ac:dyDescent="0.25">
      <c r="A625">
        <v>2025</v>
      </c>
      <c r="B625" s="4">
        <v>45992</v>
      </c>
      <c r="C625" t="s">
        <v>110</v>
      </c>
      <c r="D625" t="s">
        <v>41</v>
      </c>
      <c r="E625" s="2">
        <v>1208</v>
      </c>
    </row>
    <row r="626" spans="1:5" x14ac:dyDescent="0.25">
      <c r="A626">
        <v>2025</v>
      </c>
      <c r="B626" s="4">
        <v>45658</v>
      </c>
      <c r="C626" t="s">
        <v>110</v>
      </c>
      <c r="D626" t="s">
        <v>49</v>
      </c>
      <c r="E626" s="2">
        <v>1256.68</v>
      </c>
    </row>
    <row r="627" spans="1:5" x14ac:dyDescent="0.25">
      <c r="A627">
        <v>2025</v>
      </c>
      <c r="B627" s="4">
        <v>45689</v>
      </c>
      <c r="C627" t="s">
        <v>110</v>
      </c>
      <c r="D627" t="s">
        <v>49</v>
      </c>
      <c r="E627" s="2">
        <v>2702.04</v>
      </c>
    </row>
    <row r="628" spans="1:5" x14ac:dyDescent="0.25">
      <c r="A628">
        <v>2025</v>
      </c>
      <c r="B628" s="4">
        <v>45717</v>
      </c>
      <c r="C628" t="s">
        <v>110</v>
      </c>
      <c r="D628" t="s">
        <v>49</v>
      </c>
      <c r="E628" s="2">
        <v>0</v>
      </c>
    </row>
    <row r="629" spans="1:5" x14ac:dyDescent="0.25">
      <c r="A629">
        <v>2025</v>
      </c>
      <c r="B629" s="4">
        <v>45748</v>
      </c>
      <c r="C629" t="s">
        <v>110</v>
      </c>
      <c r="D629" t="s">
        <v>49</v>
      </c>
      <c r="E629" s="2">
        <v>1351.02</v>
      </c>
    </row>
    <row r="630" spans="1:5" x14ac:dyDescent="0.25">
      <c r="A630">
        <v>2025</v>
      </c>
      <c r="B630" s="4">
        <v>45778</v>
      </c>
      <c r="C630" t="s">
        <v>110</v>
      </c>
      <c r="D630" t="s">
        <v>49</v>
      </c>
      <c r="E630" s="2">
        <v>1351.02</v>
      </c>
    </row>
    <row r="631" spans="1:5" x14ac:dyDescent="0.25">
      <c r="A631">
        <v>2025</v>
      </c>
      <c r="B631" s="4">
        <v>45809</v>
      </c>
      <c r="C631" t="s">
        <v>110</v>
      </c>
      <c r="D631" t="s">
        <v>49</v>
      </c>
      <c r="E631" s="2">
        <v>1351.02</v>
      </c>
    </row>
    <row r="632" spans="1:5" x14ac:dyDescent="0.25">
      <c r="A632">
        <v>2025</v>
      </c>
      <c r="B632" s="4">
        <v>45839</v>
      </c>
      <c r="C632" t="s">
        <v>110</v>
      </c>
      <c r="D632" t="s">
        <v>49</v>
      </c>
      <c r="E632" s="2">
        <v>1351.02</v>
      </c>
    </row>
    <row r="633" spans="1:5" x14ac:dyDescent="0.25">
      <c r="A633">
        <v>2025</v>
      </c>
      <c r="B633" s="4">
        <v>45870</v>
      </c>
      <c r="C633" t="s">
        <v>110</v>
      </c>
      <c r="D633" t="s">
        <v>49</v>
      </c>
      <c r="E633" s="2">
        <v>1351.02</v>
      </c>
    </row>
    <row r="634" spans="1:5" x14ac:dyDescent="0.25">
      <c r="A634">
        <v>2025</v>
      </c>
      <c r="B634" s="4">
        <v>45901</v>
      </c>
      <c r="C634" t="s">
        <v>110</v>
      </c>
      <c r="D634" t="s">
        <v>49</v>
      </c>
      <c r="E634" s="2">
        <v>1351.02</v>
      </c>
    </row>
    <row r="635" spans="1:5" x14ac:dyDescent="0.25">
      <c r="A635">
        <v>2025</v>
      </c>
      <c r="B635" s="4">
        <v>45931</v>
      </c>
      <c r="C635" t="s">
        <v>110</v>
      </c>
      <c r="D635" t="s">
        <v>49</v>
      </c>
      <c r="E635" s="2">
        <v>1351.02</v>
      </c>
    </row>
    <row r="636" spans="1:5" x14ac:dyDescent="0.25">
      <c r="A636">
        <v>2025</v>
      </c>
      <c r="B636" s="4">
        <v>45962</v>
      </c>
      <c r="C636" t="s">
        <v>110</v>
      </c>
      <c r="D636" t="s">
        <v>49</v>
      </c>
      <c r="E636" s="2">
        <v>1352</v>
      </c>
    </row>
    <row r="637" spans="1:5" x14ac:dyDescent="0.25">
      <c r="A637">
        <v>2025</v>
      </c>
      <c r="B637" s="4">
        <v>45992</v>
      </c>
      <c r="C637" t="s">
        <v>110</v>
      </c>
      <c r="D637" t="s">
        <v>49</v>
      </c>
      <c r="E637" s="2">
        <v>1351</v>
      </c>
    </row>
    <row r="638" spans="1:5" x14ac:dyDescent="0.25">
      <c r="A638">
        <v>2025</v>
      </c>
      <c r="B638" s="4">
        <v>45658</v>
      </c>
      <c r="C638" t="s">
        <v>110</v>
      </c>
      <c r="D638" t="s">
        <v>57</v>
      </c>
      <c r="E638" s="2">
        <v>0</v>
      </c>
    </row>
    <row r="639" spans="1:5" x14ac:dyDescent="0.25">
      <c r="A639">
        <v>2025</v>
      </c>
      <c r="B639" s="4">
        <v>45689</v>
      </c>
      <c r="C639" t="s">
        <v>110</v>
      </c>
      <c r="D639" t="s">
        <v>57</v>
      </c>
      <c r="E639" s="2">
        <v>0</v>
      </c>
    </row>
    <row r="640" spans="1:5" x14ac:dyDescent="0.25">
      <c r="A640">
        <v>2025</v>
      </c>
      <c r="B640" s="4">
        <v>45717</v>
      </c>
      <c r="C640" t="s">
        <v>110</v>
      </c>
      <c r="D640" t="s">
        <v>57</v>
      </c>
      <c r="E640" s="2">
        <v>0</v>
      </c>
    </row>
    <row r="641" spans="1:5" x14ac:dyDescent="0.25">
      <c r="A641">
        <v>2025</v>
      </c>
      <c r="B641" s="4">
        <v>45748</v>
      </c>
      <c r="C641" t="s">
        <v>110</v>
      </c>
      <c r="D641" t="s">
        <v>57</v>
      </c>
      <c r="E641" s="2">
        <v>0</v>
      </c>
    </row>
    <row r="642" spans="1:5" x14ac:dyDescent="0.25">
      <c r="A642">
        <v>2025</v>
      </c>
      <c r="B642" s="4">
        <v>45778</v>
      </c>
      <c r="C642" t="s">
        <v>110</v>
      </c>
      <c r="D642" t="s">
        <v>57</v>
      </c>
      <c r="E642" s="2">
        <v>0</v>
      </c>
    </row>
    <row r="643" spans="1:5" x14ac:dyDescent="0.25">
      <c r="A643">
        <v>2025</v>
      </c>
      <c r="B643" s="4">
        <v>45809</v>
      </c>
      <c r="C643" t="s">
        <v>110</v>
      </c>
      <c r="D643" t="s">
        <v>57</v>
      </c>
      <c r="E643" s="2">
        <v>2256.52</v>
      </c>
    </row>
    <row r="644" spans="1:5" x14ac:dyDescent="0.25">
      <c r="A644">
        <v>2025</v>
      </c>
      <c r="B644" s="4">
        <v>45839</v>
      </c>
      <c r="C644" t="s">
        <v>110</v>
      </c>
      <c r="D644" t="s">
        <v>57</v>
      </c>
      <c r="E644" s="2">
        <v>1682.51</v>
      </c>
    </row>
    <row r="645" spans="1:5" x14ac:dyDescent="0.25">
      <c r="A645">
        <v>2025</v>
      </c>
      <c r="B645" s="4">
        <v>45870</v>
      </c>
      <c r="C645" t="s">
        <v>110</v>
      </c>
      <c r="D645" t="s">
        <v>57</v>
      </c>
      <c r="E645" s="2">
        <v>843.05</v>
      </c>
    </row>
    <row r="646" spans="1:5" x14ac:dyDescent="0.25">
      <c r="A646">
        <v>2025</v>
      </c>
      <c r="B646" s="4">
        <v>45901</v>
      </c>
      <c r="C646" t="s">
        <v>110</v>
      </c>
      <c r="D646" t="s">
        <v>57</v>
      </c>
      <c r="E646" s="2">
        <v>588.88</v>
      </c>
    </row>
    <row r="647" spans="1:5" x14ac:dyDescent="0.25">
      <c r="A647">
        <v>2025</v>
      </c>
      <c r="B647" s="4">
        <v>45931</v>
      </c>
      <c r="C647" t="s">
        <v>110</v>
      </c>
      <c r="D647" t="s">
        <v>57</v>
      </c>
      <c r="E647" s="2">
        <v>5059.99</v>
      </c>
    </row>
    <row r="648" spans="1:5" x14ac:dyDescent="0.25">
      <c r="A648">
        <v>2025</v>
      </c>
      <c r="B648" s="4">
        <v>45962</v>
      </c>
      <c r="C648" t="s">
        <v>110</v>
      </c>
      <c r="D648" t="s">
        <v>57</v>
      </c>
      <c r="E648" s="2">
        <v>4190.49</v>
      </c>
    </row>
    <row r="649" spans="1:5" x14ac:dyDescent="0.25">
      <c r="A649">
        <v>2025</v>
      </c>
      <c r="B649" s="4">
        <v>45992</v>
      </c>
      <c r="C649" t="s">
        <v>110</v>
      </c>
      <c r="D649" t="s">
        <v>57</v>
      </c>
      <c r="E649" s="2">
        <v>101.35</v>
      </c>
    </row>
    <row r="650" spans="1:5" x14ac:dyDescent="0.25">
      <c r="A650">
        <v>2025</v>
      </c>
      <c r="B650" s="4">
        <v>45658</v>
      </c>
      <c r="C650" t="s">
        <v>110</v>
      </c>
      <c r="D650" t="s">
        <v>33</v>
      </c>
      <c r="E650" s="2">
        <v>437.72</v>
      </c>
    </row>
    <row r="651" spans="1:5" x14ac:dyDescent="0.25">
      <c r="A651">
        <v>2025</v>
      </c>
      <c r="B651" s="4">
        <v>45689</v>
      </c>
      <c r="C651" t="s">
        <v>110</v>
      </c>
      <c r="D651" t="s">
        <v>33</v>
      </c>
      <c r="E651" s="2">
        <v>470.58</v>
      </c>
    </row>
    <row r="652" spans="1:5" x14ac:dyDescent="0.25">
      <c r="A652">
        <v>2025</v>
      </c>
      <c r="B652" s="4">
        <v>45717</v>
      </c>
      <c r="C652" t="s">
        <v>110</v>
      </c>
      <c r="D652" t="s">
        <v>33</v>
      </c>
      <c r="E652" s="2">
        <v>470.58</v>
      </c>
    </row>
    <row r="653" spans="1:5" x14ac:dyDescent="0.25">
      <c r="A653">
        <v>2025</v>
      </c>
      <c r="B653" s="4">
        <v>45748</v>
      </c>
      <c r="C653" t="s">
        <v>110</v>
      </c>
      <c r="D653" t="s">
        <v>33</v>
      </c>
      <c r="E653" s="2">
        <v>470.58</v>
      </c>
    </row>
    <row r="654" spans="1:5" x14ac:dyDescent="0.25">
      <c r="A654">
        <v>2025</v>
      </c>
      <c r="B654" s="4">
        <v>45778</v>
      </c>
      <c r="C654" t="s">
        <v>110</v>
      </c>
      <c r="D654" t="s">
        <v>33</v>
      </c>
      <c r="E654" s="2">
        <v>470.58</v>
      </c>
    </row>
    <row r="655" spans="1:5" x14ac:dyDescent="0.25">
      <c r="A655">
        <v>2025</v>
      </c>
      <c r="B655" s="4">
        <v>45809</v>
      </c>
      <c r="C655" t="s">
        <v>110</v>
      </c>
      <c r="D655" t="s">
        <v>33</v>
      </c>
      <c r="E655" s="2">
        <v>634.47</v>
      </c>
    </row>
    <row r="656" spans="1:5" x14ac:dyDescent="0.25">
      <c r="A656">
        <v>2025</v>
      </c>
      <c r="B656" s="4">
        <v>45839</v>
      </c>
      <c r="C656" t="s">
        <v>110</v>
      </c>
      <c r="D656" t="s">
        <v>33</v>
      </c>
      <c r="E656" s="2">
        <v>1234.93</v>
      </c>
    </row>
    <row r="657" spans="1:5" x14ac:dyDescent="0.25">
      <c r="A657">
        <v>2025</v>
      </c>
      <c r="B657" s="4">
        <v>45870</v>
      </c>
      <c r="C657" t="s">
        <v>110</v>
      </c>
      <c r="D657" t="s">
        <v>33</v>
      </c>
      <c r="E657" s="2">
        <v>470.58</v>
      </c>
    </row>
    <row r="658" spans="1:5" x14ac:dyDescent="0.25">
      <c r="A658">
        <v>2025</v>
      </c>
      <c r="B658" s="4">
        <v>45901</v>
      </c>
      <c r="C658" t="s">
        <v>110</v>
      </c>
      <c r="D658" t="s">
        <v>33</v>
      </c>
      <c r="E658" s="2">
        <v>470.58</v>
      </c>
    </row>
    <row r="659" spans="1:5" x14ac:dyDescent="0.25">
      <c r="A659">
        <v>2025</v>
      </c>
      <c r="B659" s="4">
        <v>45931</v>
      </c>
      <c r="C659" t="s">
        <v>110</v>
      </c>
      <c r="D659" t="s">
        <v>33</v>
      </c>
      <c r="E659" s="2">
        <v>1786.67</v>
      </c>
    </row>
    <row r="660" spans="1:5" x14ac:dyDescent="0.25">
      <c r="A660">
        <v>2025</v>
      </c>
      <c r="B660" s="4">
        <v>45962</v>
      </c>
      <c r="C660" t="s">
        <v>110</v>
      </c>
      <c r="D660" t="s">
        <v>33</v>
      </c>
      <c r="E660" s="2">
        <v>2344.9</v>
      </c>
    </row>
    <row r="661" spans="1:5" x14ac:dyDescent="0.25">
      <c r="A661">
        <v>2025</v>
      </c>
      <c r="B661" s="4">
        <v>45992</v>
      </c>
      <c r="C661" t="s">
        <v>110</v>
      </c>
      <c r="D661" t="s">
        <v>33</v>
      </c>
      <c r="E661" s="2">
        <v>2964.88</v>
      </c>
    </row>
    <row r="662" spans="1:5" x14ac:dyDescent="0.25">
      <c r="A662">
        <v>2025</v>
      </c>
      <c r="B662" s="4">
        <v>45658</v>
      </c>
      <c r="C662" t="s">
        <v>110</v>
      </c>
      <c r="D662" t="s">
        <v>53</v>
      </c>
      <c r="E662" s="2">
        <v>0</v>
      </c>
    </row>
    <row r="663" spans="1:5" x14ac:dyDescent="0.25">
      <c r="A663">
        <v>2025</v>
      </c>
      <c r="B663" s="4">
        <v>45689</v>
      </c>
      <c r="C663" t="s">
        <v>110</v>
      </c>
      <c r="D663" t="s">
        <v>53</v>
      </c>
      <c r="E663" s="2">
        <v>0</v>
      </c>
    </row>
    <row r="664" spans="1:5" x14ac:dyDescent="0.25">
      <c r="A664">
        <v>2025</v>
      </c>
      <c r="B664" s="4">
        <v>45717</v>
      </c>
      <c r="C664" t="s">
        <v>110</v>
      </c>
      <c r="D664" t="s">
        <v>53</v>
      </c>
      <c r="E664" s="2">
        <v>0</v>
      </c>
    </row>
    <row r="665" spans="1:5" x14ac:dyDescent="0.25">
      <c r="A665">
        <v>2025</v>
      </c>
      <c r="B665" s="4">
        <v>45748</v>
      </c>
      <c r="C665" t="s">
        <v>110</v>
      </c>
      <c r="D665" t="s">
        <v>53</v>
      </c>
      <c r="E665" s="2">
        <v>0</v>
      </c>
    </row>
    <row r="666" spans="1:5" x14ac:dyDescent="0.25">
      <c r="A666">
        <v>2025</v>
      </c>
      <c r="B666" s="4">
        <v>45778</v>
      </c>
      <c r="C666" t="s">
        <v>110</v>
      </c>
      <c r="D666" t="s">
        <v>53</v>
      </c>
      <c r="E666" s="2">
        <v>0</v>
      </c>
    </row>
    <row r="667" spans="1:5" x14ac:dyDescent="0.25">
      <c r="A667">
        <v>2025</v>
      </c>
      <c r="B667" s="4">
        <v>45809</v>
      </c>
      <c r="C667" t="s">
        <v>110</v>
      </c>
      <c r="D667" t="s">
        <v>53</v>
      </c>
      <c r="E667" s="2">
        <v>0</v>
      </c>
    </row>
    <row r="668" spans="1:5" x14ac:dyDescent="0.25">
      <c r="A668">
        <v>2025</v>
      </c>
      <c r="B668" s="4">
        <v>45839</v>
      </c>
      <c r="C668" t="s">
        <v>110</v>
      </c>
      <c r="D668" t="s">
        <v>53</v>
      </c>
      <c r="E668" s="2">
        <v>0</v>
      </c>
    </row>
    <row r="669" spans="1:5" x14ac:dyDescent="0.25">
      <c r="A669">
        <v>2025</v>
      </c>
      <c r="B669" s="4">
        <v>45870</v>
      </c>
      <c r="C669" t="s">
        <v>110</v>
      </c>
      <c r="D669" t="s">
        <v>53</v>
      </c>
      <c r="E669" s="2">
        <v>0</v>
      </c>
    </row>
    <row r="670" spans="1:5" x14ac:dyDescent="0.25">
      <c r="A670">
        <v>2025</v>
      </c>
      <c r="B670" s="4">
        <v>45901</v>
      </c>
      <c r="C670" t="s">
        <v>110</v>
      </c>
      <c r="D670" t="s">
        <v>53</v>
      </c>
      <c r="E670" s="2">
        <v>0</v>
      </c>
    </row>
    <row r="671" spans="1:5" x14ac:dyDescent="0.25">
      <c r="A671">
        <v>2025</v>
      </c>
      <c r="B671" s="4">
        <v>45931</v>
      </c>
      <c r="C671" t="s">
        <v>110</v>
      </c>
      <c r="D671" t="s">
        <v>53</v>
      </c>
      <c r="E671" s="2">
        <v>2900.04</v>
      </c>
    </row>
    <row r="672" spans="1:5" x14ac:dyDescent="0.25">
      <c r="A672">
        <v>2025</v>
      </c>
      <c r="B672" s="4">
        <v>45962</v>
      </c>
      <c r="C672" t="s">
        <v>110</v>
      </c>
      <c r="D672" t="s">
        <v>53</v>
      </c>
      <c r="E672" s="2">
        <v>2900.04</v>
      </c>
    </row>
    <row r="673" spans="1:5" x14ac:dyDescent="0.25">
      <c r="A673">
        <v>2025</v>
      </c>
      <c r="B673" s="4">
        <v>45992</v>
      </c>
      <c r="C673" t="s">
        <v>110</v>
      </c>
      <c r="D673" t="s">
        <v>53</v>
      </c>
      <c r="E673" s="2">
        <v>2900.04</v>
      </c>
    </row>
    <row r="674" spans="1:5" x14ac:dyDescent="0.25">
      <c r="A674">
        <v>2025</v>
      </c>
      <c r="B674" s="4">
        <v>45658</v>
      </c>
      <c r="C674" t="s">
        <v>110</v>
      </c>
      <c r="D674" t="s">
        <v>56</v>
      </c>
      <c r="E674" s="2">
        <v>0</v>
      </c>
    </row>
    <row r="675" spans="1:5" x14ac:dyDescent="0.25">
      <c r="A675">
        <v>2025</v>
      </c>
      <c r="B675" s="4">
        <v>45689</v>
      </c>
      <c r="C675" t="s">
        <v>110</v>
      </c>
      <c r="D675" t="s">
        <v>56</v>
      </c>
      <c r="E675" s="2">
        <v>0</v>
      </c>
    </row>
    <row r="676" spans="1:5" x14ac:dyDescent="0.25">
      <c r="A676">
        <v>2025</v>
      </c>
      <c r="B676" s="4">
        <v>45717</v>
      </c>
      <c r="C676" t="s">
        <v>110</v>
      </c>
      <c r="D676" t="s">
        <v>56</v>
      </c>
      <c r="E676" s="2">
        <v>0</v>
      </c>
    </row>
    <row r="677" spans="1:5" x14ac:dyDescent="0.25">
      <c r="A677">
        <v>2025</v>
      </c>
      <c r="B677" s="4">
        <v>45748</v>
      </c>
      <c r="C677" t="s">
        <v>110</v>
      </c>
      <c r="D677" t="s">
        <v>56</v>
      </c>
      <c r="E677" s="2">
        <v>0</v>
      </c>
    </row>
    <row r="678" spans="1:5" x14ac:dyDescent="0.25">
      <c r="A678">
        <v>2025</v>
      </c>
      <c r="B678" s="4">
        <v>45778</v>
      </c>
      <c r="C678" t="s">
        <v>110</v>
      </c>
      <c r="D678" t="s">
        <v>56</v>
      </c>
      <c r="E678" s="2">
        <v>0</v>
      </c>
    </row>
    <row r="679" spans="1:5" x14ac:dyDescent="0.25">
      <c r="A679">
        <v>2025</v>
      </c>
      <c r="B679" s="4">
        <v>45809</v>
      </c>
      <c r="C679" t="s">
        <v>110</v>
      </c>
      <c r="D679" t="s">
        <v>56</v>
      </c>
      <c r="E679" s="2">
        <v>1680</v>
      </c>
    </row>
    <row r="680" spans="1:5" x14ac:dyDescent="0.25">
      <c r="A680">
        <v>2025</v>
      </c>
      <c r="B680" s="4">
        <v>45839</v>
      </c>
      <c r="C680" t="s">
        <v>110</v>
      </c>
      <c r="D680" t="s">
        <v>56</v>
      </c>
      <c r="E680" s="2">
        <v>0</v>
      </c>
    </row>
    <row r="681" spans="1:5" x14ac:dyDescent="0.25">
      <c r="A681">
        <v>2025</v>
      </c>
      <c r="B681" s="4">
        <v>45870</v>
      </c>
      <c r="C681" t="s">
        <v>110</v>
      </c>
      <c r="D681" t="s">
        <v>56</v>
      </c>
      <c r="E681" s="2">
        <v>0</v>
      </c>
    </row>
    <row r="682" spans="1:5" x14ac:dyDescent="0.25">
      <c r="A682">
        <v>2025</v>
      </c>
      <c r="B682" s="4">
        <v>45901</v>
      </c>
      <c r="C682" t="s">
        <v>110</v>
      </c>
      <c r="D682" t="s">
        <v>56</v>
      </c>
      <c r="E682" s="2">
        <v>0</v>
      </c>
    </row>
    <row r="683" spans="1:5" x14ac:dyDescent="0.25">
      <c r="A683">
        <v>2025</v>
      </c>
      <c r="B683" s="4">
        <v>45931</v>
      </c>
      <c r="C683" t="s">
        <v>110</v>
      </c>
      <c r="D683" t="s">
        <v>56</v>
      </c>
      <c r="E683" s="2">
        <v>0</v>
      </c>
    </row>
    <row r="684" spans="1:5" x14ac:dyDescent="0.25">
      <c r="A684">
        <v>2025</v>
      </c>
      <c r="B684" s="4">
        <v>45962</v>
      </c>
      <c r="C684" t="s">
        <v>110</v>
      </c>
      <c r="D684" t="s">
        <v>56</v>
      </c>
      <c r="E684" s="2">
        <v>30</v>
      </c>
    </row>
    <row r="685" spans="1:5" x14ac:dyDescent="0.25">
      <c r="A685">
        <v>2025</v>
      </c>
      <c r="B685" s="4">
        <v>45992</v>
      </c>
      <c r="C685" t="s">
        <v>110</v>
      </c>
      <c r="D685" t="s">
        <v>56</v>
      </c>
      <c r="E685" s="2">
        <v>1390.89</v>
      </c>
    </row>
    <row r="686" spans="1:5" x14ac:dyDescent="0.25">
      <c r="A686">
        <v>2025</v>
      </c>
      <c r="B686" s="4">
        <v>45658</v>
      </c>
      <c r="C686" t="s">
        <v>110</v>
      </c>
      <c r="D686" t="s">
        <v>64</v>
      </c>
      <c r="E686" s="2">
        <v>0</v>
      </c>
    </row>
    <row r="687" spans="1:5" x14ac:dyDescent="0.25">
      <c r="A687">
        <v>2025</v>
      </c>
      <c r="B687" s="4">
        <v>45689</v>
      </c>
      <c r="C687" t="s">
        <v>110</v>
      </c>
      <c r="D687" t="s">
        <v>64</v>
      </c>
      <c r="E687" s="2">
        <v>0</v>
      </c>
    </row>
    <row r="688" spans="1:5" x14ac:dyDescent="0.25">
      <c r="A688">
        <v>2025</v>
      </c>
      <c r="B688" s="4">
        <v>45717</v>
      </c>
      <c r="C688" t="s">
        <v>110</v>
      </c>
      <c r="D688" t="s">
        <v>64</v>
      </c>
      <c r="E688" s="2">
        <v>0</v>
      </c>
    </row>
    <row r="689" spans="1:5" x14ac:dyDescent="0.25">
      <c r="A689">
        <v>2025</v>
      </c>
      <c r="B689" s="4">
        <v>45748</v>
      </c>
      <c r="C689" t="s">
        <v>110</v>
      </c>
      <c r="D689" t="s">
        <v>64</v>
      </c>
      <c r="E689" s="2">
        <v>0</v>
      </c>
    </row>
    <row r="690" spans="1:5" x14ac:dyDescent="0.25">
      <c r="A690">
        <v>2025</v>
      </c>
      <c r="B690" s="4">
        <v>45778</v>
      </c>
      <c r="C690" t="s">
        <v>110</v>
      </c>
      <c r="D690" t="s">
        <v>64</v>
      </c>
      <c r="E690" s="2">
        <v>0</v>
      </c>
    </row>
    <row r="691" spans="1:5" x14ac:dyDescent="0.25">
      <c r="A691">
        <v>2025</v>
      </c>
      <c r="B691" s="4">
        <v>45809</v>
      </c>
      <c r="C691" t="s">
        <v>110</v>
      </c>
      <c r="D691" t="s">
        <v>64</v>
      </c>
      <c r="E691" s="2">
        <v>0</v>
      </c>
    </row>
    <row r="692" spans="1:5" x14ac:dyDescent="0.25">
      <c r="A692">
        <v>2025</v>
      </c>
      <c r="B692" s="4">
        <v>45839</v>
      </c>
      <c r="C692" t="s">
        <v>110</v>
      </c>
      <c r="D692" t="s">
        <v>64</v>
      </c>
      <c r="E692" s="2">
        <v>0</v>
      </c>
    </row>
    <row r="693" spans="1:5" x14ac:dyDescent="0.25">
      <c r="A693">
        <v>2025</v>
      </c>
      <c r="B693" s="4">
        <v>45870</v>
      </c>
      <c r="C693" t="s">
        <v>110</v>
      </c>
      <c r="D693" t="s">
        <v>64</v>
      </c>
      <c r="E693" s="2">
        <v>0</v>
      </c>
    </row>
    <row r="694" spans="1:5" x14ac:dyDescent="0.25">
      <c r="A694">
        <v>2025</v>
      </c>
      <c r="B694" s="4">
        <v>45901</v>
      </c>
      <c r="C694" t="s">
        <v>110</v>
      </c>
      <c r="D694" t="s">
        <v>64</v>
      </c>
      <c r="E694" s="2">
        <v>0</v>
      </c>
    </row>
    <row r="695" spans="1:5" x14ac:dyDescent="0.25">
      <c r="A695">
        <v>2025</v>
      </c>
      <c r="B695" s="4">
        <v>45931</v>
      </c>
      <c r="C695" t="s">
        <v>110</v>
      </c>
      <c r="D695" t="s">
        <v>64</v>
      </c>
      <c r="E695" s="2">
        <v>3000</v>
      </c>
    </row>
    <row r="696" spans="1:5" x14ac:dyDescent="0.25">
      <c r="A696">
        <v>2025</v>
      </c>
      <c r="B696" s="4">
        <v>45962</v>
      </c>
      <c r="C696" t="s">
        <v>110</v>
      </c>
      <c r="D696" t="s">
        <v>64</v>
      </c>
      <c r="E696" s="2">
        <v>0</v>
      </c>
    </row>
    <row r="697" spans="1:5" x14ac:dyDescent="0.25">
      <c r="A697">
        <v>2025</v>
      </c>
      <c r="B697" s="4">
        <v>45992</v>
      </c>
      <c r="C697" t="s">
        <v>110</v>
      </c>
      <c r="D697" t="s">
        <v>64</v>
      </c>
      <c r="E697" s="2">
        <v>0</v>
      </c>
    </row>
    <row r="698" spans="1:5" x14ac:dyDescent="0.25">
      <c r="A698">
        <v>2025</v>
      </c>
      <c r="B698" s="4">
        <v>45658</v>
      </c>
      <c r="C698" t="s">
        <v>110</v>
      </c>
      <c r="D698" t="s">
        <v>25</v>
      </c>
      <c r="E698" s="2">
        <v>194.2</v>
      </c>
    </row>
    <row r="699" spans="1:5" x14ac:dyDescent="0.25">
      <c r="A699">
        <v>2025</v>
      </c>
      <c r="B699" s="4">
        <v>45689</v>
      </c>
      <c r="C699" t="s">
        <v>110</v>
      </c>
      <c r="D699" t="s">
        <v>25</v>
      </c>
      <c r="E699" s="2">
        <v>194.2</v>
      </c>
    </row>
    <row r="700" spans="1:5" x14ac:dyDescent="0.25">
      <c r="A700">
        <v>2025</v>
      </c>
      <c r="B700" s="4">
        <v>45717</v>
      </c>
      <c r="C700" t="s">
        <v>110</v>
      </c>
      <c r="D700" t="s">
        <v>25</v>
      </c>
      <c r="E700" s="2">
        <v>194.2</v>
      </c>
    </row>
    <row r="701" spans="1:5" x14ac:dyDescent="0.25">
      <c r="A701">
        <v>2025</v>
      </c>
      <c r="B701" s="4">
        <v>45748</v>
      </c>
      <c r="C701" t="s">
        <v>110</v>
      </c>
      <c r="D701" t="s">
        <v>25</v>
      </c>
      <c r="E701" s="2">
        <v>194.2</v>
      </c>
    </row>
    <row r="702" spans="1:5" x14ac:dyDescent="0.25">
      <c r="A702">
        <v>2025</v>
      </c>
      <c r="B702" s="4">
        <v>45778</v>
      </c>
      <c r="C702" t="s">
        <v>110</v>
      </c>
      <c r="D702" t="s">
        <v>25</v>
      </c>
      <c r="E702" s="2">
        <v>194.2</v>
      </c>
    </row>
    <row r="703" spans="1:5" x14ac:dyDescent="0.25">
      <c r="A703">
        <v>2025</v>
      </c>
      <c r="B703" s="4">
        <v>45809</v>
      </c>
      <c r="C703" t="s">
        <v>110</v>
      </c>
      <c r="D703" t="s">
        <v>25</v>
      </c>
      <c r="E703" s="2">
        <v>194.2</v>
      </c>
    </row>
    <row r="704" spans="1:5" x14ac:dyDescent="0.25">
      <c r="A704">
        <v>2025</v>
      </c>
      <c r="B704" s="4">
        <v>45839</v>
      </c>
      <c r="C704" t="s">
        <v>110</v>
      </c>
      <c r="D704" t="s">
        <v>25</v>
      </c>
      <c r="E704" s="2">
        <v>213.62</v>
      </c>
    </row>
    <row r="705" spans="1:5" x14ac:dyDescent="0.25">
      <c r="A705">
        <v>2025</v>
      </c>
      <c r="B705" s="4">
        <v>45870</v>
      </c>
      <c r="C705" t="s">
        <v>110</v>
      </c>
      <c r="D705" t="s">
        <v>25</v>
      </c>
      <c r="E705" s="2">
        <v>245.75</v>
      </c>
    </row>
    <row r="706" spans="1:5" x14ac:dyDescent="0.25">
      <c r="A706">
        <v>2025</v>
      </c>
      <c r="B706" s="4">
        <v>45901</v>
      </c>
      <c r="C706" t="s">
        <v>110</v>
      </c>
      <c r="D706" t="s">
        <v>25</v>
      </c>
      <c r="E706" s="2">
        <v>258.62</v>
      </c>
    </row>
    <row r="707" spans="1:5" x14ac:dyDescent="0.25">
      <c r="A707">
        <v>2025</v>
      </c>
      <c r="B707" s="4">
        <v>45931</v>
      </c>
      <c r="C707" t="s">
        <v>110</v>
      </c>
      <c r="D707" t="s">
        <v>25</v>
      </c>
      <c r="E707" s="2">
        <v>258.62</v>
      </c>
    </row>
    <row r="708" spans="1:5" x14ac:dyDescent="0.25">
      <c r="A708">
        <v>2025</v>
      </c>
      <c r="B708" s="4">
        <v>45962</v>
      </c>
      <c r="C708" t="s">
        <v>110</v>
      </c>
      <c r="D708" t="s">
        <v>25</v>
      </c>
      <c r="E708" s="2">
        <v>258.62</v>
      </c>
    </row>
    <row r="709" spans="1:5" x14ac:dyDescent="0.25">
      <c r="A709">
        <v>2025</v>
      </c>
      <c r="B709" s="4">
        <v>45992</v>
      </c>
      <c r="C709" t="s">
        <v>110</v>
      </c>
      <c r="D709" t="s">
        <v>25</v>
      </c>
      <c r="E709" s="2">
        <v>258.62</v>
      </c>
    </row>
    <row r="710" spans="1:5" x14ac:dyDescent="0.25">
      <c r="A710">
        <v>2025</v>
      </c>
      <c r="B710" s="4">
        <v>45658</v>
      </c>
      <c r="C710" t="s">
        <v>110</v>
      </c>
      <c r="D710" t="s">
        <v>32</v>
      </c>
      <c r="E710" s="2">
        <v>0</v>
      </c>
    </row>
    <row r="711" spans="1:5" x14ac:dyDescent="0.25">
      <c r="A711">
        <v>2025</v>
      </c>
      <c r="B711" s="4">
        <v>45689</v>
      </c>
      <c r="C711" t="s">
        <v>110</v>
      </c>
      <c r="D711" t="s">
        <v>32</v>
      </c>
      <c r="E711" s="2">
        <v>0</v>
      </c>
    </row>
    <row r="712" spans="1:5" x14ac:dyDescent="0.25">
      <c r="A712">
        <v>2025</v>
      </c>
      <c r="B712" s="4">
        <v>45717</v>
      </c>
      <c r="C712" t="s">
        <v>110</v>
      </c>
      <c r="D712" t="s">
        <v>32</v>
      </c>
      <c r="E712" s="2">
        <v>0</v>
      </c>
    </row>
    <row r="713" spans="1:5" x14ac:dyDescent="0.25">
      <c r="A713">
        <v>2025</v>
      </c>
      <c r="B713" s="4">
        <v>45748</v>
      </c>
      <c r="C713" t="s">
        <v>110</v>
      </c>
      <c r="D713" t="s">
        <v>32</v>
      </c>
      <c r="E713" s="2">
        <v>0</v>
      </c>
    </row>
    <row r="714" spans="1:5" x14ac:dyDescent="0.25">
      <c r="A714">
        <v>2025</v>
      </c>
      <c r="B714" s="4">
        <v>45778</v>
      </c>
      <c r="C714" t="s">
        <v>110</v>
      </c>
      <c r="D714" t="s">
        <v>32</v>
      </c>
      <c r="E714" s="2">
        <v>0</v>
      </c>
    </row>
    <row r="715" spans="1:5" x14ac:dyDescent="0.25">
      <c r="A715">
        <v>2025</v>
      </c>
      <c r="B715" s="4">
        <v>45809</v>
      </c>
      <c r="C715" t="s">
        <v>110</v>
      </c>
      <c r="D715" t="s">
        <v>32</v>
      </c>
      <c r="E715" s="2">
        <v>0</v>
      </c>
    </row>
    <row r="716" spans="1:5" x14ac:dyDescent="0.25">
      <c r="A716">
        <v>2025</v>
      </c>
      <c r="B716" s="4">
        <v>45839</v>
      </c>
      <c r="C716" t="s">
        <v>110</v>
      </c>
      <c r="D716" t="s">
        <v>32</v>
      </c>
      <c r="E716" s="2">
        <v>697.26</v>
      </c>
    </row>
    <row r="717" spans="1:5" x14ac:dyDescent="0.25">
      <c r="A717">
        <v>2025</v>
      </c>
      <c r="B717" s="4">
        <v>45870</v>
      </c>
      <c r="C717" t="s">
        <v>110</v>
      </c>
      <c r="D717" t="s">
        <v>32</v>
      </c>
      <c r="E717" s="2">
        <v>0</v>
      </c>
    </row>
    <row r="718" spans="1:5" x14ac:dyDescent="0.25">
      <c r="A718">
        <v>2025</v>
      </c>
      <c r="B718" s="4">
        <v>45901</v>
      </c>
      <c r="C718" t="s">
        <v>110</v>
      </c>
      <c r="D718" t="s">
        <v>32</v>
      </c>
      <c r="E718" s="2">
        <v>0</v>
      </c>
    </row>
    <row r="719" spans="1:5" x14ac:dyDescent="0.25">
      <c r="A719">
        <v>2025</v>
      </c>
      <c r="B719" s="4">
        <v>45931</v>
      </c>
      <c r="C719" t="s">
        <v>110</v>
      </c>
      <c r="D719" t="s">
        <v>32</v>
      </c>
      <c r="E719" s="2">
        <v>0</v>
      </c>
    </row>
    <row r="720" spans="1:5" x14ac:dyDescent="0.25">
      <c r="A720">
        <v>2025</v>
      </c>
      <c r="B720" s="4">
        <v>45962</v>
      </c>
      <c r="C720" t="s">
        <v>110</v>
      </c>
      <c r="D720" t="s">
        <v>32</v>
      </c>
      <c r="E720" s="2">
        <v>1907.8</v>
      </c>
    </row>
    <row r="721" spans="1:5" x14ac:dyDescent="0.25">
      <c r="A721">
        <v>2025</v>
      </c>
      <c r="B721" s="4">
        <v>45992</v>
      </c>
      <c r="C721" t="s">
        <v>110</v>
      </c>
      <c r="D721" t="s">
        <v>32</v>
      </c>
      <c r="E721" s="2">
        <v>0</v>
      </c>
    </row>
    <row r="722" spans="1:5" x14ac:dyDescent="0.25">
      <c r="A722">
        <v>2025</v>
      </c>
      <c r="B722" s="4">
        <v>45658</v>
      </c>
      <c r="C722" t="s">
        <v>110</v>
      </c>
      <c r="D722" t="s">
        <v>27</v>
      </c>
      <c r="E722" s="2">
        <v>0</v>
      </c>
    </row>
    <row r="723" spans="1:5" x14ac:dyDescent="0.25">
      <c r="A723">
        <v>2025</v>
      </c>
      <c r="B723" s="4">
        <v>45689</v>
      </c>
      <c r="C723" t="s">
        <v>110</v>
      </c>
      <c r="D723" t="s">
        <v>27</v>
      </c>
      <c r="E723" s="2">
        <v>0</v>
      </c>
    </row>
    <row r="724" spans="1:5" x14ac:dyDescent="0.25">
      <c r="A724">
        <v>2025</v>
      </c>
      <c r="B724" s="4">
        <v>45717</v>
      </c>
      <c r="C724" t="s">
        <v>110</v>
      </c>
      <c r="D724" t="s">
        <v>27</v>
      </c>
      <c r="E724" s="2">
        <v>0</v>
      </c>
    </row>
    <row r="725" spans="1:5" x14ac:dyDescent="0.25">
      <c r="A725">
        <v>2025</v>
      </c>
      <c r="B725" s="4">
        <v>45748</v>
      </c>
      <c r="C725" t="s">
        <v>110</v>
      </c>
      <c r="D725" t="s">
        <v>27</v>
      </c>
      <c r="E725" s="2">
        <v>0</v>
      </c>
    </row>
    <row r="726" spans="1:5" x14ac:dyDescent="0.25">
      <c r="A726">
        <v>2025</v>
      </c>
      <c r="B726" s="4">
        <v>45778</v>
      </c>
      <c r="C726" t="s">
        <v>110</v>
      </c>
      <c r="D726" t="s">
        <v>27</v>
      </c>
      <c r="E726" s="2">
        <v>0</v>
      </c>
    </row>
    <row r="727" spans="1:5" x14ac:dyDescent="0.25">
      <c r="A727">
        <v>2025</v>
      </c>
      <c r="B727" s="4">
        <v>45809</v>
      </c>
      <c r="C727" t="s">
        <v>110</v>
      </c>
      <c r="D727" t="s">
        <v>27</v>
      </c>
      <c r="E727" s="2">
        <v>0</v>
      </c>
    </row>
    <row r="728" spans="1:5" x14ac:dyDescent="0.25">
      <c r="A728">
        <v>2025</v>
      </c>
      <c r="B728" s="4">
        <v>45839</v>
      </c>
      <c r="C728" t="s">
        <v>110</v>
      </c>
      <c r="D728" t="s">
        <v>27</v>
      </c>
      <c r="E728" s="2">
        <v>0</v>
      </c>
    </row>
    <row r="729" spans="1:5" x14ac:dyDescent="0.25">
      <c r="A729">
        <v>2025</v>
      </c>
      <c r="B729" s="4">
        <v>45870</v>
      </c>
      <c r="C729" t="s">
        <v>110</v>
      </c>
      <c r="D729" t="s">
        <v>27</v>
      </c>
      <c r="E729" s="2">
        <v>0</v>
      </c>
    </row>
    <row r="730" spans="1:5" x14ac:dyDescent="0.25">
      <c r="A730">
        <v>2025</v>
      </c>
      <c r="B730" s="4">
        <v>45901</v>
      </c>
      <c r="C730" t="s">
        <v>110</v>
      </c>
      <c r="D730" t="s">
        <v>27</v>
      </c>
      <c r="E730" s="2">
        <v>0</v>
      </c>
    </row>
    <row r="731" spans="1:5" x14ac:dyDescent="0.25">
      <c r="A731">
        <v>2025</v>
      </c>
      <c r="B731" s="4">
        <v>45931</v>
      </c>
      <c r="C731" t="s">
        <v>110</v>
      </c>
      <c r="D731" t="s">
        <v>27</v>
      </c>
      <c r="E731" s="2">
        <v>0</v>
      </c>
    </row>
    <row r="732" spans="1:5" x14ac:dyDescent="0.25">
      <c r="A732">
        <v>2025</v>
      </c>
      <c r="B732" s="4">
        <v>45962</v>
      </c>
      <c r="C732" t="s">
        <v>110</v>
      </c>
      <c r="D732" t="s">
        <v>27</v>
      </c>
      <c r="E732" s="2">
        <v>790.74</v>
      </c>
    </row>
    <row r="733" spans="1:5" x14ac:dyDescent="0.25">
      <c r="A733">
        <v>2025</v>
      </c>
      <c r="B733" s="4">
        <v>45992</v>
      </c>
      <c r="C733" t="s">
        <v>110</v>
      </c>
      <c r="D733" t="s">
        <v>27</v>
      </c>
      <c r="E733" s="2">
        <v>1159.74</v>
      </c>
    </row>
    <row r="734" spans="1:5" x14ac:dyDescent="0.25">
      <c r="A734">
        <v>2025</v>
      </c>
      <c r="B734" s="4">
        <v>45658</v>
      </c>
      <c r="C734" t="s">
        <v>110</v>
      </c>
      <c r="D734" t="s">
        <v>31</v>
      </c>
      <c r="E734" s="2">
        <v>0</v>
      </c>
    </row>
    <row r="735" spans="1:5" x14ac:dyDescent="0.25">
      <c r="A735">
        <v>2025</v>
      </c>
      <c r="B735" s="4">
        <v>45689</v>
      </c>
      <c r="C735" t="s">
        <v>110</v>
      </c>
      <c r="D735" t="s">
        <v>31</v>
      </c>
      <c r="E735" s="2">
        <v>253</v>
      </c>
    </row>
    <row r="736" spans="1:5" x14ac:dyDescent="0.25">
      <c r="A736">
        <v>2025</v>
      </c>
      <c r="B736" s="4">
        <v>45717</v>
      </c>
      <c r="C736" t="s">
        <v>110</v>
      </c>
      <c r="D736" t="s">
        <v>31</v>
      </c>
      <c r="E736" s="2">
        <v>0</v>
      </c>
    </row>
    <row r="737" spans="1:5" x14ac:dyDescent="0.25">
      <c r="A737">
        <v>2025</v>
      </c>
      <c r="B737" s="4">
        <v>45748</v>
      </c>
      <c r="C737" t="s">
        <v>110</v>
      </c>
      <c r="D737" t="s">
        <v>31</v>
      </c>
      <c r="E737" s="2">
        <v>0</v>
      </c>
    </row>
    <row r="738" spans="1:5" x14ac:dyDescent="0.25">
      <c r="A738">
        <v>2025</v>
      </c>
      <c r="B738" s="4">
        <v>45778</v>
      </c>
      <c r="C738" t="s">
        <v>110</v>
      </c>
      <c r="D738" t="s">
        <v>31</v>
      </c>
      <c r="E738" s="2">
        <v>0</v>
      </c>
    </row>
    <row r="739" spans="1:5" x14ac:dyDescent="0.25">
      <c r="A739">
        <v>2025</v>
      </c>
      <c r="B739" s="4">
        <v>45809</v>
      </c>
      <c r="C739" t="s">
        <v>110</v>
      </c>
      <c r="D739" t="s">
        <v>31</v>
      </c>
      <c r="E739" s="2">
        <v>0</v>
      </c>
    </row>
    <row r="740" spans="1:5" x14ac:dyDescent="0.25">
      <c r="A740">
        <v>2025</v>
      </c>
      <c r="B740" s="4">
        <v>45839</v>
      </c>
      <c r="C740" t="s">
        <v>110</v>
      </c>
      <c r="D740" t="s">
        <v>31</v>
      </c>
      <c r="E740" s="2">
        <v>759</v>
      </c>
    </row>
    <row r="741" spans="1:5" x14ac:dyDescent="0.25">
      <c r="A741">
        <v>2025</v>
      </c>
      <c r="B741" s="4">
        <v>45870</v>
      </c>
      <c r="C741" t="s">
        <v>110</v>
      </c>
      <c r="D741" t="s">
        <v>31</v>
      </c>
      <c r="E741" s="2">
        <v>0</v>
      </c>
    </row>
    <row r="742" spans="1:5" x14ac:dyDescent="0.25">
      <c r="A742">
        <v>2025</v>
      </c>
      <c r="B742" s="4">
        <v>45901</v>
      </c>
      <c r="C742" t="s">
        <v>110</v>
      </c>
      <c r="D742" t="s">
        <v>31</v>
      </c>
      <c r="E742" s="2">
        <v>0</v>
      </c>
    </row>
    <row r="743" spans="1:5" x14ac:dyDescent="0.25">
      <c r="A743">
        <v>2025</v>
      </c>
      <c r="B743" s="4">
        <v>45931</v>
      </c>
      <c r="C743" t="s">
        <v>110</v>
      </c>
      <c r="D743" t="s">
        <v>31</v>
      </c>
      <c r="E743" s="2">
        <v>0</v>
      </c>
    </row>
    <row r="744" spans="1:5" x14ac:dyDescent="0.25">
      <c r="A744">
        <v>2025</v>
      </c>
      <c r="B744" s="4">
        <v>45962</v>
      </c>
      <c r="C744" t="s">
        <v>110</v>
      </c>
      <c r="D744" t="s">
        <v>31</v>
      </c>
      <c r="E744" s="2">
        <v>0</v>
      </c>
    </row>
    <row r="745" spans="1:5" x14ac:dyDescent="0.25">
      <c r="A745">
        <v>2025</v>
      </c>
      <c r="B745" s="4">
        <v>45992</v>
      </c>
      <c r="C745" t="s">
        <v>110</v>
      </c>
      <c r="D745" t="s">
        <v>31</v>
      </c>
      <c r="E745" s="2">
        <v>0</v>
      </c>
    </row>
    <row r="746" spans="1:5" x14ac:dyDescent="0.25">
      <c r="A746">
        <v>2025</v>
      </c>
      <c r="B746" s="4">
        <v>45658</v>
      </c>
      <c r="C746" t="s">
        <v>110</v>
      </c>
      <c r="D746" t="s">
        <v>48</v>
      </c>
      <c r="E746" s="2">
        <v>0</v>
      </c>
    </row>
    <row r="747" spans="1:5" x14ac:dyDescent="0.25">
      <c r="A747">
        <v>2025</v>
      </c>
      <c r="B747" s="4">
        <v>45689</v>
      </c>
      <c r="C747" t="s">
        <v>110</v>
      </c>
      <c r="D747" t="s">
        <v>48</v>
      </c>
      <c r="E747" s="2">
        <v>787.2</v>
      </c>
    </row>
    <row r="748" spans="1:5" x14ac:dyDescent="0.25">
      <c r="A748">
        <v>2025</v>
      </c>
      <c r="B748" s="4">
        <v>45717</v>
      </c>
      <c r="C748" t="s">
        <v>110</v>
      </c>
      <c r="D748" t="s">
        <v>48</v>
      </c>
      <c r="E748" s="2">
        <v>22</v>
      </c>
    </row>
    <row r="749" spans="1:5" x14ac:dyDescent="0.25">
      <c r="A749">
        <v>2025</v>
      </c>
      <c r="B749" s="4">
        <v>45748</v>
      </c>
      <c r="C749" t="s">
        <v>110</v>
      </c>
      <c r="D749" t="s">
        <v>48</v>
      </c>
      <c r="E749" s="2">
        <v>0</v>
      </c>
    </row>
    <row r="750" spans="1:5" x14ac:dyDescent="0.25">
      <c r="A750">
        <v>2025</v>
      </c>
      <c r="B750" s="4">
        <v>45778</v>
      </c>
      <c r="C750" t="s">
        <v>110</v>
      </c>
      <c r="D750" t="s">
        <v>48</v>
      </c>
      <c r="E750" s="2">
        <v>0</v>
      </c>
    </row>
    <row r="751" spans="1:5" x14ac:dyDescent="0.25">
      <c r="A751">
        <v>2025</v>
      </c>
      <c r="B751" s="4">
        <v>45809</v>
      </c>
      <c r="C751" t="s">
        <v>110</v>
      </c>
      <c r="D751" t="s">
        <v>48</v>
      </c>
      <c r="E751" s="2">
        <v>0</v>
      </c>
    </row>
    <row r="752" spans="1:5" x14ac:dyDescent="0.25">
      <c r="A752">
        <v>2025</v>
      </c>
      <c r="B752" s="4">
        <v>45839</v>
      </c>
      <c r="C752" t="s">
        <v>110</v>
      </c>
      <c r="D752" t="s">
        <v>48</v>
      </c>
      <c r="E752" s="2">
        <v>23.9</v>
      </c>
    </row>
    <row r="753" spans="1:5" x14ac:dyDescent="0.25">
      <c r="A753">
        <v>2025</v>
      </c>
      <c r="B753" s="4">
        <v>45870</v>
      </c>
      <c r="C753" t="s">
        <v>110</v>
      </c>
      <c r="D753" t="s">
        <v>48</v>
      </c>
      <c r="E753" s="2">
        <v>0</v>
      </c>
    </row>
    <row r="754" spans="1:5" x14ac:dyDescent="0.25">
      <c r="A754">
        <v>2025</v>
      </c>
      <c r="B754" s="4">
        <v>45901</v>
      </c>
      <c r="C754" t="s">
        <v>110</v>
      </c>
      <c r="D754" t="s">
        <v>48</v>
      </c>
      <c r="E754" s="2">
        <v>42.56</v>
      </c>
    </row>
    <row r="755" spans="1:5" x14ac:dyDescent="0.25">
      <c r="A755">
        <v>2025</v>
      </c>
      <c r="B755" s="4">
        <v>45931</v>
      </c>
      <c r="C755" t="s">
        <v>110</v>
      </c>
      <c r="D755" t="s">
        <v>48</v>
      </c>
      <c r="E755" s="2">
        <v>9.98</v>
      </c>
    </row>
    <row r="756" spans="1:5" x14ac:dyDescent="0.25">
      <c r="A756">
        <v>2025</v>
      </c>
      <c r="B756" s="4">
        <v>45962</v>
      </c>
      <c r="C756" t="s">
        <v>110</v>
      </c>
      <c r="D756" t="s">
        <v>48</v>
      </c>
      <c r="E756" s="2">
        <v>49.96</v>
      </c>
    </row>
    <row r="757" spans="1:5" x14ac:dyDescent="0.25">
      <c r="A757">
        <v>2025</v>
      </c>
      <c r="B757" s="4">
        <v>45992</v>
      </c>
      <c r="C757" t="s">
        <v>110</v>
      </c>
      <c r="D757" t="s">
        <v>48</v>
      </c>
      <c r="E757" s="2">
        <v>0</v>
      </c>
    </row>
    <row r="758" spans="1:5" x14ac:dyDescent="0.25">
      <c r="A758">
        <v>2025</v>
      </c>
      <c r="B758" s="4">
        <v>45658</v>
      </c>
      <c r="C758" t="s">
        <v>110</v>
      </c>
      <c r="D758" t="s">
        <v>50</v>
      </c>
      <c r="E758" s="2">
        <v>13.46</v>
      </c>
    </row>
    <row r="759" spans="1:5" x14ac:dyDescent="0.25">
      <c r="A759">
        <v>2025</v>
      </c>
      <c r="B759" s="4">
        <v>45689</v>
      </c>
      <c r="C759" t="s">
        <v>110</v>
      </c>
      <c r="D759" t="s">
        <v>50</v>
      </c>
      <c r="E759" s="2">
        <v>39.18</v>
      </c>
    </row>
    <row r="760" spans="1:5" x14ac:dyDescent="0.25">
      <c r="A760">
        <v>2025</v>
      </c>
      <c r="B760" s="4">
        <v>45717</v>
      </c>
      <c r="C760" t="s">
        <v>110</v>
      </c>
      <c r="D760" t="s">
        <v>50</v>
      </c>
      <c r="E760" s="2">
        <v>24.2</v>
      </c>
    </row>
    <row r="761" spans="1:5" x14ac:dyDescent="0.25">
      <c r="A761">
        <v>2025</v>
      </c>
      <c r="B761" s="4">
        <v>45748</v>
      </c>
      <c r="C761" t="s">
        <v>110</v>
      </c>
      <c r="D761" t="s">
        <v>50</v>
      </c>
      <c r="E761" s="2">
        <v>43.83</v>
      </c>
    </row>
    <row r="762" spans="1:5" x14ac:dyDescent="0.25">
      <c r="A762">
        <v>2025</v>
      </c>
      <c r="B762" s="4">
        <v>45778</v>
      </c>
      <c r="C762" t="s">
        <v>110</v>
      </c>
      <c r="D762" t="s">
        <v>50</v>
      </c>
      <c r="E762" s="2">
        <v>17.14</v>
      </c>
    </row>
    <row r="763" spans="1:5" x14ac:dyDescent="0.25">
      <c r="A763">
        <v>2025</v>
      </c>
      <c r="B763" s="4">
        <v>45809</v>
      </c>
      <c r="C763" t="s">
        <v>110</v>
      </c>
      <c r="D763" t="s">
        <v>50</v>
      </c>
      <c r="E763" s="2">
        <v>10.96</v>
      </c>
    </row>
    <row r="764" spans="1:5" x14ac:dyDescent="0.25">
      <c r="A764">
        <v>2025</v>
      </c>
      <c r="B764" s="4">
        <v>45839</v>
      </c>
      <c r="C764" t="s">
        <v>110</v>
      </c>
      <c r="D764" t="s">
        <v>50</v>
      </c>
      <c r="E764" s="2">
        <v>416.07</v>
      </c>
    </row>
    <row r="765" spans="1:5" x14ac:dyDescent="0.25">
      <c r="A765">
        <v>2025</v>
      </c>
      <c r="B765" s="4">
        <v>45870</v>
      </c>
      <c r="C765" t="s">
        <v>110</v>
      </c>
      <c r="D765" t="s">
        <v>50</v>
      </c>
      <c r="E765" s="2">
        <v>28.52</v>
      </c>
    </row>
    <row r="766" spans="1:5" x14ac:dyDescent="0.25">
      <c r="A766">
        <v>2025</v>
      </c>
      <c r="B766" s="4">
        <v>45901</v>
      </c>
      <c r="C766" t="s">
        <v>110</v>
      </c>
      <c r="D766" t="s">
        <v>50</v>
      </c>
      <c r="E766" s="2">
        <v>0</v>
      </c>
    </row>
    <row r="767" spans="1:5" x14ac:dyDescent="0.25">
      <c r="A767">
        <v>2025</v>
      </c>
      <c r="B767" s="4">
        <v>45931</v>
      </c>
      <c r="C767" t="s">
        <v>110</v>
      </c>
      <c r="D767" t="s">
        <v>50</v>
      </c>
      <c r="E767" s="2">
        <v>0</v>
      </c>
    </row>
    <row r="768" spans="1:5" x14ac:dyDescent="0.25">
      <c r="A768">
        <v>2025</v>
      </c>
      <c r="B768" s="4">
        <v>45962</v>
      </c>
      <c r="C768" t="s">
        <v>110</v>
      </c>
      <c r="D768" t="s">
        <v>50</v>
      </c>
      <c r="E768" s="2">
        <v>16.940000000000001</v>
      </c>
    </row>
    <row r="769" spans="1:5" x14ac:dyDescent="0.25">
      <c r="A769">
        <v>2025</v>
      </c>
      <c r="B769" s="4">
        <v>45992</v>
      </c>
      <c r="C769" t="s">
        <v>110</v>
      </c>
      <c r="D769" t="s">
        <v>50</v>
      </c>
      <c r="E769" s="2">
        <v>50.93</v>
      </c>
    </row>
    <row r="770" spans="1:5" x14ac:dyDescent="0.25">
      <c r="A770">
        <v>2025</v>
      </c>
      <c r="B770" s="4">
        <v>45658</v>
      </c>
      <c r="C770" t="s">
        <v>110</v>
      </c>
      <c r="D770" t="s">
        <v>29</v>
      </c>
      <c r="E770" s="2">
        <v>0</v>
      </c>
    </row>
    <row r="771" spans="1:5" x14ac:dyDescent="0.25">
      <c r="A771">
        <v>2025</v>
      </c>
      <c r="B771" s="4">
        <v>45689</v>
      </c>
      <c r="C771" t="s">
        <v>110</v>
      </c>
      <c r="D771" t="s">
        <v>29</v>
      </c>
      <c r="E771" s="2">
        <v>49.6</v>
      </c>
    </row>
    <row r="772" spans="1:5" x14ac:dyDescent="0.25">
      <c r="A772">
        <v>2025</v>
      </c>
      <c r="B772" s="4">
        <v>45717</v>
      </c>
      <c r="C772" t="s">
        <v>110</v>
      </c>
      <c r="D772" t="s">
        <v>29</v>
      </c>
      <c r="E772" s="2">
        <v>49.6</v>
      </c>
    </row>
    <row r="773" spans="1:5" x14ac:dyDescent="0.25">
      <c r="A773">
        <v>2025</v>
      </c>
      <c r="B773" s="4">
        <v>45748</v>
      </c>
      <c r="C773" t="s">
        <v>110</v>
      </c>
      <c r="D773" t="s">
        <v>29</v>
      </c>
      <c r="E773" s="2">
        <v>49.6</v>
      </c>
    </row>
    <row r="774" spans="1:5" x14ac:dyDescent="0.25">
      <c r="A774">
        <v>2025</v>
      </c>
      <c r="B774" s="4">
        <v>45778</v>
      </c>
      <c r="C774" t="s">
        <v>110</v>
      </c>
      <c r="D774" t="s">
        <v>29</v>
      </c>
      <c r="E774" s="2">
        <v>49.6</v>
      </c>
    </row>
    <row r="775" spans="1:5" x14ac:dyDescent="0.25">
      <c r="A775">
        <v>2025</v>
      </c>
      <c r="B775" s="4">
        <v>45809</v>
      </c>
      <c r="C775" t="s">
        <v>110</v>
      </c>
      <c r="D775" t="s">
        <v>29</v>
      </c>
      <c r="E775" s="2">
        <v>49.6</v>
      </c>
    </row>
    <row r="776" spans="1:5" x14ac:dyDescent="0.25">
      <c r="A776">
        <v>2025</v>
      </c>
      <c r="B776" s="4">
        <v>45839</v>
      </c>
      <c r="C776" t="s">
        <v>110</v>
      </c>
      <c r="D776" t="s">
        <v>29</v>
      </c>
      <c r="E776" s="2">
        <v>49.6</v>
      </c>
    </row>
    <row r="777" spans="1:5" x14ac:dyDescent="0.25">
      <c r="A777">
        <v>2025</v>
      </c>
      <c r="B777" s="4">
        <v>45870</v>
      </c>
      <c r="C777" t="s">
        <v>110</v>
      </c>
      <c r="D777" t="s">
        <v>29</v>
      </c>
      <c r="E777" s="2">
        <v>49.6</v>
      </c>
    </row>
    <row r="778" spans="1:5" x14ac:dyDescent="0.25">
      <c r="A778">
        <v>2025</v>
      </c>
      <c r="B778" s="4">
        <v>45901</v>
      </c>
      <c r="C778" t="s">
        <v>110</v>
      </c>
      <c r="D778" t="s">
        <v>29</v>
      </c>
      <c r="E778" s="2">
        <v>49.6</v>
      </c>
    </row>
    <row r="779" spans="1:5" x14ac:dyDescent="0.25">
      <c r="A779">
        <v>2025</v>
      </c>
      <c r="B779" s="4">
        <v>45931</v>
      </c>
      <c r="C779" t="s">
        <v>110</v>
      </c>
      <c r="D779" t="s">
        <v>29</v>
      </c>
      <c r="E779" s="2">
        <v>49.6</v>
      </c>
    </row>
    <row r="780" spans="1:5" x14ac:dyDescent="0.25">
      <c r="A780">
        <v>2025</v>
      </c>
      <c r="B780" s="4">
        <v>45962</v>
      </c>
      <c r="C780" t="s">
        <v>110</v>
      </c>
      <c r="D780" t="s">
        <v>29</v>
      </c>
      <c r="E780" s="2">
        <v>49.6</v>
      </c>
    </row>
    <row r="781" spans="1:5" x14ac:dyDescent="0.25">
      <c r="A781">
        <v>2025</v>
      </c>
      <c r="B781" s="4">
        <v>45992</v>
      </c>
      <c r="C781" t="s">
        <v>110</v>
      </c>
      <c r="D781" t="s">
        <v>29</v>
      </c>
      <c r="E781" s="2">
        <v>49.6</v>
      </c>
    </row>
    <row r="782" spans="1:5" x14ac:dyDescent="0.25">
      <c r="A782">
        <v>2025</v>
      </c>
      <c r="B782" s="4">
        <v>45658</v>
      </c>
      <c r="C782" t="s">
        <v>110</v>
      </c>
      <c r="D782" t="s">
        <v>39</v>
      </c>
      <c r="E782" s="2">
        <v>16.5</v>
      </c>
    </row>
    <row r="783" spans="1:5" x14ac:dyDescent="0.25">
      <c r="A783">
        <v>2025</v>
      </c>
      <c r="B783" s="4">
        <v>45689</v>
      </c>
      <c r="C783" t="s">
        <v>110</v>
      </c>
      <c r="D783" t="s">
        <v>39</v>
      </c>
      <c r="E783" s="2">
        <v>17.29</v>
      </c>
    </row>
    <row r="784" spans="1:5" x14ac:dyDescent="0.25">
      <c r="A784">
        <v>2025</v>
      </c>
      <c r="B784" s="4">
        <v>45717</v>
      </c>
      <c r="C784" t="s">
        <v>110</v>
      </c>
      <c r="D784" t="s">
        <v>39</v>
      </c>
      <c r="E784" s="2">
        <v>17.29</v>
      </c>
    </row>
    <row r="785" spans="1:5" x14ac:dyDescent="0.25">
      <c r="A785">
        <v>2025</v>
      </c>
      <c r="B785" s="4">
        <v>45748</v>
      </c>
      <c r="C785" t="s">
        <v>110</v>
      </c>
      <c r="D785" t="s">
        <v>39</v>
      </c>
      <c r="E785" s="2">
        <v>17.29</v>
      </c>
    </row>
    <row r="786" spans="1:5" x14ac:dyDescent="0.25">
      <c r="A786">
        <v>2025</v>
      </c>
      <c r="B786" s="4">
        <v>45778</v>
      </c>
      <c r="C786" t="s">
        <v>110</v>
      </c>
      <c r="D786" t="s">
        <v>39</v>
      </c>
      <c r="E786" s="2">
        <v>17.29</v>
      </c>
    </row>
    <row r="787" spans="1:5" x14ac:dyDescent="0.25">
      <c r="A787">
        <v>2025</v>
      </c>
      <c r="B787" s="4">
        <v>45809</v>
      </c>
      <c r="C787" t="s">
        <v>110</v>
      </c>
      <c r="D787" t="s">
        <v>39</v>
      </c>
      <c r="E787" s="2">
        <v>33.79</v>
      </c>
    </row>
    <row r="788" spans="1:5" x14ac:dyDescent="0.25">
      <c r="A788">
        <v>2025</v>
      </c>
      <c r="B788" s="4">
        <v>45839</v>
      </c>
      <c r="C788" t="s">
        <v>110</v>
      </c>
      <c r="D788" t="s">
        <v>39</v>
      </c>
      <c r="E788" s="2">
        <v>33.79</v>
      </c>
    </row>
    <row r="789" spans="1:5" x14ac:dyDescent="0.25">
      <c r="A789">
        <v>2025</v>
      </c>
      <c r="B789" s="4">
        <v>45870</v>
      </c>
      <c r="C789" t="s">
        <v>110</v>
      </c>
      <c r="D789" t="s">
        <v>39</v>
      </c>
      <c r="E789" s="2">
        <v>33.79</v>
      </c>
    </row>
    <row r="790" spans="1:5" x14ac:dyDescent="0.25">
      <c r="A790">
        <v>2025</v>
      </c>
      <c r="B790" s="4">
        <v>45901</v>
      </c>
      <c r="C790" t="s">
        <v>110</v>
      </c>
      <c r="D790" t="s">
        <v>39</v>
      </c>
      <c r="E790" s="2">
        <v>33.79</v>
      </c>
    </row>
    <row r="791" spans="1:5" x14ac:dyDescent="0.25">
      <c r="A791">
        <v>2025</v>
      </c>
      <c r="B791" s="4">
        <v>45931</v>
      </c>
      <c r="C791" t="s">
        <v>110</v>
      </c>
      <c r="D791" t="s">
        <v>39</v>
      </c>
      <c r="E791" s="2">
        <v>33.79</v>
      </c>
    </row>
    <row r="792" spans="1:5" x14ac:dyDescent="0.25">
      <c r="A792">
        <v>2025</v>
      </c>
      <c r="B792" s="4">
        <v>45962</v>
      </c>
      <c r="C792" t="s">
        <v>110</v>
      </c>
      <c r="D792" t="s">
        <v>39</v>
      </c>
      <c r="E792" s="2">
        <v>33.79</v>
      </c>
    </row>
    <row r="793" spans="1:5" x14ac:dyDescent="0.25">
      <c r="A793">
        <v>2025</v>
      </c>
      <c r="B793" s="4">
        <v>45992</v>
      </c>
      <c r="C793" t="s">
        <v>110</v>
      </c>
      <c r="D793" t="s">
        <v>39</v>
      </c>
      <c r="E793" s="2">
        <v>33.79</v>
      </c>
    </row>
    <row r="794" spans="1:5" x14ac:dyDescent="0.25">
      <c r="A794">
        <v>2025</v>
      </c>
      <c r="B794" s="4">
        <v>45658</v>
      </c>
      <c r="C794" t="s">
        <v>110</v>
      </c>
      <c r="D794" t="s">
        <v>38</v>
      </c>
      <c r="E794" s="2">
        <v>14.48</v>
      </c>
    </row>
    <row r="795" spans="1:5" x14ac:dyDescent="0.25">
      <c r="A795">
        <v>2025</v>
      </c>
      <c r="B795" s="4">
        <v>45689</v>
      </c>
      <c r="C795" t="s">
        <v>110</v>
      </c>
      <c r="D795" t="s">
        <v>38</v>
      </c>
      <c r="E795" s="2">
        <v>14.48</v>
      </c>
    </row>
    <row r="796" spans="1:5" x14ac:dyDescent="0.25">
      <c r="A796">
        <v>2025</v>
      </c>
      <c r="B796" s="4">
        <v>45717</v>
      </c>
      <c r="C796" t="s">
        <v>110</v>
      </c>
      <c r="D796" t="s">
        <v>38</v>
      </c>
      <c r="E796" s="2">
        <v>0</v>
      </c>
    </row>
    <row r="797" spans="1:5" x14ac:dyDescent="0.25">
      <c r="A797">
        <v>2025</v>
      </c>
      <c r="B797" s="4">
        <v>45748</v>
      </c>
      <c r="C797" t="s">
        <v>110</v>
      </c>
      <c r="D797" t="s">
        <v>38</v>
      </c>
      <c r="E797" s="2">
        <v>28.96</v>
      </c>
    </row>
    <row r="798" spans="1:5" x14ac:dyDescent="0.25">
      <c r="A798">
        <v>2025</v>
      </c>
      <c r="B798" s="4">
        <v>45778</v>
      </c>
      <c r="C798" t="s">
        <v>110</v>
      </c>
      <c r="D798" t="s">
        <v>38</v>
      </c>
      <c r="E798" s="2">
        <v>14.48</v>
      </c>
    </row>
    <row r="799" spans="1:5" x14ac:dyDescent="0.25">
      <c r="A799">
        <v>2025</v>
      </c>
      <c r="B799" s="4">
        <v>45809</v>
      </c>
      <c r="C799" t="s">
        <v>110</v>
      </c>
      <c r="D799" t="s">
        <v>38</v>
      </c>
      <c r="E799" s="2">
        <v>21.72</v>
      </c>
    </row>
    <row r="800" spans="1:5" x14ac:dyDescent="0.25">
      <c r="A800">
        <v>2025</v>
      </c>
      <c r="B800" s="4">
        <v>45839</v>
      </c>
      <c r="C800" t="s">
        <v>110</v>
      </c>
      <c r="D800" t="s">
        <v>38</v>
      </c>
      <c r="E800" s="2">
        <v>14.48</v>
      </c>
    </row>
    <row r="801" spans="1:5" x14ac:dyDescent="0.25">
      <c r="A801">
        <v>2025</v>
      </c>
      <c r="B801" s="4">
        <v>45870</v>
      </c>
      <c r="C801" t="s">
        <v>110</v>
      </c>
      <c r="D801" t="s">
        <v>38</v>
      </c>
      <c r="E801" s="2">
        <v>14.48</v>
      </c>
    </row>
    <row r="802" spans="1:5" x14ac:dyDescent="0.25">
      <c r="A802">
        <v>2025</v>
      </c>
      <c r="B802" s="4">
        <v>45901</v>
      </c>
      <c r="C802" t="s">
        <v>110</v>
      </c>
      <c r="D802" t="s">
        <v>38</v>
      </c>
      <c r="E802" s="2">
        <v>21.72</v>
      </c>
    </row>
    <row r="803" spans="1:5" x14ac:dyDescent="0.25">
      <c r="A803">
        <v>2025</v>
      </c>
      <c r="B803" s="4">
        <v>45931</v>
      </c>
      <c r="C803" t="s">
        <v>110</v>
      </c>
      <c r="D803" t="s">
        <v>38</v>
      </c>
      <c r="E803" s="2">
        <v>21.72</v>
      </c>
    </row>
    <row r="804" spans="1:5" x14ac:dyDescent="0.25">
      <c r="A804">
        <v>2025</v>
      </c>
      <c r="B804" s="4">
        <v>45962</v>
      </c>
      <c r="C804" t="s">
        <v>110</v>
      </c>
      <c r="D804" t="s">
        <v>38</v>
      </c>
      <c r="E804" s="2">
        <v>21.72</v>
      </c>
    </row>
    <row r="805" spans="1:5" x14ac:dyDescent="0.25">
      <c r="A805">
        <v>2025</v>
      </c>
      <c r="B805" s="4">
        <v>45992</v>
      </c>
      <c r="C805" t="s">
        <v>110</v>
      </c>
      <c r="D805" t="s">
        <v>38</v>
      </c>
      <c r="E805" s="2">
        <v>21.72</v>
      </c>
    </row>
    <row r="806" spans="1:5" x14ac:dyDescent="0.25">
      <c r="A806">
        <v>2025</v>
      </c>
      <c r="B806" s="4">
        <v>45658</v>
      </c>
      <c r="C806" t="s">
        <v>110</v>
      </c>
      <c r="D806" t="s">
        <v>44</v>
      </c>
      <c r="E806" s="2">
        <v>0</v>
      </c>
    </row>
    <row r="807" spans="1:5" x14ac:dyDescent="0.25">
      <c r="A807">
        <v>2025</v>
      </c>
      <c r="B807" s="4">
        <v>45689</v>
      </c>
      <c r="C807" t="s">
        <v>110</v>
      </c>
      <c r="D807" t="s">
        <v>44</v>
      </c>
      <c r="E807" s="2">
        <v>138</v>
      </c>
    </row>
    <row r="808" spans="1:5" x14ac:dyDescent="0.25">
      <c r="A808">
        <v>2025</v>
      </c>
      <c r="B808" s="4">
        <v>45717</v>
      </c>
      <c r="C808" t="s">
        <v>110</v>
      </c>
      <c r="D808" t="s">
        <v>44</v>
      </c>
      <c r="E808" s="2">
        <v>0</v>
      </c>
    </row>
    <row r="809" spans="1:5" x14ac:dyDescent="0.25">
      <c r="A809">
        <v>2025</v>
      </c>
      <c r="B809" s="4">
        <v>45748</v>
      </c>
      <c r="C809" t="s">
        <v>110</v>
      </c>
      <c r="D809" t="s">
        <v>44</v>
      </c>
      <c r="E809" s="2">
        <v>0</v>
      </c>
    </row>
    <row r="810" spans="1:5" x14ac:dyDescent="0.25">
      <c r="A810">
        <v>2025</v>
      </c>
      <c r="B810" s="4">
        <v>45778</v>
      </c>
      <c r="C810" t="s">
        <v>110</v>
      </c>
      <c r="D810" t="s">
        <v>44</v>
      </c>
      <c r="E810" s="2">
        <v>0</v>
      </c>
    </row>
    <row r="811" spans="1:5" x14ac:dyDescent="0.25">
      <c r="A811">
        <v>2025</v>
      </c>
      <c r="B811" s="4">
        <v>45809</v>
      </c>
      <c r="C811" t="s">
        <v>110</v>
      </c>
      <c r="D811" t="s">
        <v>44</v>
      </c>
      <c r="E811" s="2">
        <v>0</v>
      </c>
    </row>
    <row r="812" spans="1:5" x14ac:dyDescent="0.25">
      <c r="A812">
        <v>2025</v>
      </c>
      <c r="B812" s="4">
        <v>45839</v>
      </c>
      <c r="C812" t="s">
        <v>110</v>
      </c>
      <c r="D812" t="s">
        <v>44</v>
      </c>
      <c r="E812" s="2">
        <v>0</v>
      </c>
    </row>
    <row r="813" spans="1:5" x14ac:dyDescent="0.25">
      <c r="A813">
        <v>2025</v>
      </c>
      <c r="B813" s="4">
        <v>45870</v>
      </c>
      <c r="C813" t="s">
        <v>110</v>
      </c>
      <c r="D813" t="s">
        <v>44</v>
      </c>
      <c r="E813" s="2">
        <v>0</v>
      </c>
    </row>
    <row r="814" spans="1:5" x14ac:dyDescent="0.25">
      <c r="A814">
        <v>2025</v>
      </c>
      <c r="B814" s="4">
        <v>45901</v>
      </c>
      <c r="C814" t="s">
        <v>110</v>
      </c>
      <c r="D814" t="s">
        <v>44</v>
      </c>
      <c r="E814" s="2">
        <v>7</v>
      </c>
    </row>
    <row r="815" spans="1:5" x14ac:dyDescent="0.25">
      <c r="A815">
        <v>2025</v>
      </c>
      <c r="B815" s="4">
        <v>45931</v>
      </c>
      <c r="C815" t="s">
        <v>110</v>
      </c>
      <c r="D815" t="s">
        <v>44</v>
      </c>
      <c r="E815" s="2">
        <v>26.4</v>
      </c>
    </row>
    <row r="816" spans="1:5" x14ac:dyDescent="0.25">
      <c r="A816">
        <v>2025</v>
      </c>
      <c r="B816" s="4">
        <v>45962</v>
      </c>
      <c r="C816" t="s">
        <v>110</v>
      </c>
      <c r="D816" t="s">
        <v>44</v>
      </c>
      <c r="E816" s="2">
        <v>19.5</v>
      </c>
    </row>
    <row r="817" spans="1:5" x14ac:dyDescent="0.25">
      <c r="A817">
        <v>2025</v>
      </c>
      <c r="B817" s="4">
        <v>45992</v>
      </c>
      <c r="C817" t="s">
        <v>110</v>
      </c>
      <c r="D817" t="s">
        <v>44</v>
      </c>
      <c r="E817" s="2">
        <v>0</v>
      </c>
    </row>
    <row r="818" spans="1:5" x14ac:dyDescent="0.25">
      <c r="A818">
        <v>2025</v>
      </c>
      <c r="B818" s="4">
        <v>45658</v>
      </c>
      <c r="C818" t="s">
        <v>110</v>
      </c>
      <c r="D818" t="s">
        <v>45</v>
      </c>
      <c r="E818" s="2">
        <v>0</v>
      </c>
    </row>
    <row r="819" spans="1:5" x14ac:dyDescent="0.25">
      <c r="A819">
        <v>2025</v>
      </c>
      <c r="B819" s="4">
        <v>45689</v>
      </c>
      <c r="C819" t="s">
        <v>110</v>
      </c>
      <c r="D819" t="s">
        <v>45</v>
      </c>
      <c r="E819" s="2">
        <v>0</v>
      </c>
    </row>
    <row r="820" spans="1:5" x14ac:dyDescent="0.25">
      <c r="A820">
        <v>2025</v>
      </c>
      <c r="B820" s="4">
        <v>45717</v>
      </c>
      <c r="C820" t="s">
        <v>110</v>
      </c>
      <c r="D820" t="s">
        <v>45</v>
      </c>
      <c r="E820" s="2">
        <v>0</v>
      </c>
    </row>
    <row r="821" spans="1:5" x14ac:dyDescent="0.25">
      <c r="A821">
        <v>2025</v>
      </c>
      <c r="B821" s="4">
        <v>45748</v>
      </c>
      <c r="C821" t="s">
        <v>110</v>
      </c>
      <c r="D821" t="s">
        <v>45</v>
      </c>
      <c r="E821" s="2">
        <v>0</v>
      </c>
    </row>
    <row r="822" spans="1:5" x14ac:dyDescent="0.25">
      <c r="A822">
        <v>2025</v>
      </c>
      <c r="B822" s="4">
        <v>45778</v>
      </c>
      <c r="C822" t="s">
        <v>110</v>
      </c>
      <c r="D822" t="s">
        <v>45</v>
      </c>
      <c r="E822" s="2">
        <v>166.2</v>
      </c>
    </row>
    <row r="823" spans="1:5" x14ac:dyDescent="0.25">
      <c r="A823">
        <v>2025</v>
      </c>
      <c r="B823" s="4">
        <v>45809</v>
      </c>
      <c r="C823" t="s">
        <v>110</v>
      </c>
      <c r="D823" t="s">
        <v>45</v>
      </c>
      <c r="E823" s="2">
        <v>0</v>
      </c>
    </row>
    <row r="824" spans="1:5" x14ac:dyDescent="0.25">
      <c r="A824">
        <v>2025</v>
      </c>
      <c r="B824" s="4">
        <v>45839</v>
      </c>
      <c r="C824" t="s">
        <v>110</v>
      </c>
      <c r="D824" t="s">
        <v>45</v>
      </c>
      <c r="E824" s="2">
        <v>0</v>
      </c>
    </row>
    <row r="825" spans="1:5" x14ac:dyDescent="0.25">
      <c r="A825">
        <v>2025</v>
      </c>
      <c r="B825" s="4">
        <v>45870</v>
      </c>
      <c r="C825" t="s">
        <v>110</v>
      </c>
      <c r="D825" t="s">
        <v>45</v>
      </c>
      <c r="E825" s="2">
        <v>0</v>
      </c>
    </row>
    <row r="826" spans="1:5" x14ac:dyDescent="0.25">
      <c r="A826">
        <v>2025</v>
      </c>
      <c r="B826" s="4">
        <v>45901</v>
      </c>
      <c r="C826" t="s">
        <v>110</v>
      </c>
      <c r="D826" t="s">
        <v>45</v>
      </c>
      <c r="E826" s="2">
        <v>0</v>
      </c>
    </row>
    <row r="827" spans="1:5" x14ac:dyDescent="0.25">
      <c r="A827">
        <v>2025</v>
      </c>
      <c r="B827" s="4">
        <v>45931</v>
      </c>
      <c r="C827" t="s">
        <v>110</v>
      </c>
      <c r="D827" t="s">
        <v>45</v>
      </c>
      <c r="E827" s="2">
        <v>0</v>
      </c>
    </row>
    <row r="828" spans="1:5" x14ac:dyDescent="0.25">
      <c r="A828">
        <v>2025</v>
      </c>
      <c r="B828" s="4">
        <v>45962</v>
      </c>
      <c r="C828" t="s">
        <v>110</v>
      </c>
      <c r="D828" t="s">
        <v>45</v>
      </c>
      <c r="E828" s="2">
        <v>0</v>
      </c>
    </row>
    <row r="829" spans="1:5" x14ac:dyDescent="0.25">
      <c r="A829">
        <v>2025</v>
      </c>
      <c r="B829" s="4">
        <v>45992</v>
      </c>
      <c r="C829" t="s">
        <v>110</v>
      </c>
      <c r="D829" t="s">
        <v>45</v>
      </c>
      <c r="E829" s="2">
        <v>0</v>
      </c>
    </row>
    <row r="830" spans="1:5" x14ac:dyDescent="0.25">
      <c r="A830">
        <v>2025</v>
      </c>
      <c r="B830" s="4">
        <v>45658</v>
      </c>
      <c r="C830" t="s">
        <v>110</v>
      </c>
      <c r="D830" t="s">
        <v>34</v>
      </c>
      <c r="E830" s="2">
        <v>0</v>
      </c>
    </row>
    <row r="831" spans="1:5" x14ac:dyDescent="0.25">
      <c r="A831">
        <v>2025</v>
      </c>
      <c r="B831" s="4">
        <v>45689</v>
      </c>
      <c r="C831" t="s">
        <v>110</v>
      </c>
      <c r="D831" t="s">
        <v>34</v>
      </c>
      <c r="E831" s="2">
        <v>0</v>
      </c>
    </row>
    <row r="832" spans="1:5" x14ac:dyDescent="0.25">
      <c r="A832">
        <v>2025</v>
      </c>
      <c r="B832" s="4">
        <v>45717</v>
      </c>
      <c r="C832" t="s">
        <v>110</v>
      </c>
      <c r="D832" t="s">
        <v>34</v>
      </c>
      <c r="E832" s="2">
        <v>0</v>
      </c>
    </row>
    <row r="833" spans="1:5" x14ac:dyDescent="0.25">
      <c r="A833">
        <v>2025</v>
      </c>
      <c r="B833" s="4">
        <v>45748</v>
      </c>
      <c r="C833" t="s">
        <v>110</v>
      </c>
      <c r="D833" t="s">
        <v>34</v>
      </c>
      <c r="E833" s="2">
        <v>0</v>
      </c>
    </row>
    <row r="834" spans="1:5" x14ac:dyDescent="0.25">
      <c r="A834">
        <v>2025</v>
      </c>
      <c r="B834" s="4">
        <v>45778</v>
      </c>
      <c r="C834" t="s">
        <v>110</v>
      </c>
      <c r="D834" t="s">
        <v>34</v>
      </c>
      <c r="E834" s="2">
        <v>0</v>
      </c>
    </row>
    <row r="835" spans="1:5" x14ac:dyDescent="0.25">
      <c r="A835">
        <v>2025</v>
      </c>
      <c r="B835" s="4">
        <v>45809</v>
      </c>
      <c r="C835" t="s">
        <v>110</v>
      </c>
      <c r="D835" t="s">
        <v>34</v>
      </c>
      <c r="E835" s="2">
        <v>0</v>
      </c>
    </row>
    <row r="836" spans="1:5" x14ac:dyDescent="0.25">
      <c r="A836">
        <v>2025</v>
      </c>
      <c r="B836" s="4">
        <v>45839</v>
      </c>
      <c r="C836" t="s">
        <v>110</v>
      </c>
      <c r="D836" t="s">
        <v>34</v>
      </c>
      <c r="E836" s="2">
        <v>0</v>
      </c>
    </row>
    <row r="837" spans="1:5" x14ac:dyDescent="0.25">
      <c r="A837">
        <v>2025</v>
      </c>
      <c r="B837" s="4">
        <v>45870</v>
      </c>
      <c r="C837" t="s">
        <v>110</v>
      </c>
      <c r="D837" t="s">
        <v>34</v>
      </c>
      <c r="E837" s="2">
        <v>0</v>
      </c>
    </row>
    <row r="838" spans="1:5" x14ac:dyDescent="0.25">
      <c r="A838">
        <v>2025</v>
      </c>
      <c r="B838" s="4">
        <v>45901</v>
      </c>
      <c r="C838" t="s">
        <v>110</v>
      </c>
      <c r="D838" t="s">
        <v>34</v>
      </c>
      <c r="E838" s="2">
        <v>0</v>
      </c>
    </row>
    <row r="839" spans="1:5" x14ac:dyDescent="0.25">
      <c r="A839">
        <v>2025</v>
      </c>
      <c r="B839" s="4">
        <v>45931</v>
      </c>
      <c r="C839" t="s">
        <v>110</v>
      </c>
      <c r="D839" t="s">
        <v>34</v>
      </c>
      <c r="E839" s="2">
        <v>96</v>
      </c>
    </row>
    <row r="840" spans="1:5" x14ac:dyDescent="0.25">
      <c r="A840">
        <v>2025</v>
      </c>
      <c r="B840" s="4">
        <v>45962</v>
      </c>
      <c r="C840" t="s">
        <v>110</v>
      </c>
      <c r="D840" t="s">
        <v>34</v>
      </c>
      <c r="E840" s="2">
        <v>0</v>
      </c>
    </row>
    <row r="841" spans="1:5" x14ac:dyDescent="0.25">
      <c r="A841">
        <v>2025</v>
      </c>
      <c r="B841" s="4">
        <v>45992</v>
      </c>
      <c r="C841" t="s">
        <v>110</v>
      </c>
      <c r="D841" t="s">
        <v>34</v>
      </c>
      <c r="E841" s="2">
        <v>48</v>
      </c>
    </row>
    <row r="842" spans="1:5" x14ac:dyDescent="0.25">
      <c r="A842">
        <v>2025</v>
      </c>
      <c r="B842" s="4">
        <v>45658</v>
      </c>
      <c r="C842" t="s">
        <v>110</v>
      </c>
      <c r="D842" t="s">
        <v>55</v>
      </c>
      <c r="E842" s="2">
        <v>0</v>
      </c>
    </row>
    <row r="843" spans="1:5" x14ac:dyDescent="0.25">
      <c r="A843">
        <v>2025</v>
      </c>
      <c r="B843" s="4">
        <v>45689</v>
      </c>
      <c r="C843" t="s">
        <v>110</v>
      </c>
      <c r="D843" t="s">
        <v>55</v>
      </c>
      <c r="E843" s="2">
        <v>0</v>
      </c>
    </row>
    <row r="844" spans="1:5" x14ac:dyDescent="0.25">
      <c r="A844">
        <v>2025</v>
      </c>
      <c r="B844" s="4">
        <v>45717</v>
      </c>
      <c r="C844" t="s">
        <v>110</v>
      </c>
      <c r="D844" t="s">
        <v>55</v>
      </c>
      <c r="E844" s="2">
        <v>0</v>
      </c>
    </row>
    <row r="845" spans="1:5" x14ac:dyDescent="0.25">
      <c r="A845">
        <v>2025</v>
      </c>
      <c r="B845" s="4">
        <v>45748</v>
      </c>
      <c r="C845" t="s">
        <v>110</v>
      </c>
      <c r="D845" t="s">
        <v>55</v>
      </c>
      <c r="E845" s="2">
        <v>0</v>
      </c>
    </row>
    <row r="846" spans="1:5" x14ac:dyDescent="0.25">
      <c r="A846">
        <v>2025</v>
      </c>
      <c r="B846" s="4">
        <v>45778</v>
      </c>
      <c r="C846" t="s">
        <v>110</v>
      </c>
      <c r="D846" t="s">
        <v>55</v>
      </c>
      <c r="E846" s="2">
        <v>0</v>
      </c>
    </row>
    <row r="847" spans="1:5" x14ac:dyDescent="0.25">
      <c r="A847">
        <v>2025</v>
      </c>
      <c r="B847" s="4">
        <v>45809</v>
      </c>
      <c r="C847" t="s">
        <v>110</v>
      </c>
      <c r="D847" t="s">
        <v>55</v>
      </c>
      <c r="E847" s="2">
        <v>0</v>
      </c>
    </row>
    <row r="848" spans="1:5" x14ac:dyDescent="0.25">
      <c r="A848">
        <v>2025</v>
      </c>
      <c r="B848" s="4">
        <v>45839</v>
      </c>
      <c r="C848" t="s">
        <v>110</v>
      </c>
      <c r="D848" t="s">
        <v>55</v>
      </c>
      <c r="E848" s="2">
        <v>0</v>
      </c>
    </row>
    <row r="849" spans="1:5" x14ac:dyDescent="0.25">
      <c r="A849">
        <v>2025</v>
      </c>
      <c r="B849" s="4">
        <v>45870</v>
      </c>
      <c r="C849" t="s">
        <v>110</v>
      </c>
      <c r="D849" t="s">
        <v>55</v>
      </c>
      <c r="E849" s="2">
        <v>0</v>
      </c>
    </row>
    <row r="850" spans="1:5" x14ac:dyDescent="0.25">
      <c r="A850">
        <v>2025</v>
      </c>
      <c r="B850" s="4">
        <v>45901</v>
      </c>
      <c r="C850" t="s">
        <v>110</v>
      </c>
      <c r="D850" t="s">
        <v>55</v>
      </c>
      <c r="E850" s="2">
        <v>0</v>
      </c>
    </row>
    <row r="851" spans="1:5" x14ac:dyDescent="0.25">
      <c r="A851">
        <v>2025</v>
      </c>
      <c r="B851" s="4">
        <v>45931</v>
      </c>
      <c r="C851" t="s">
        <v>110</v>
      </c>
      <c r="D851" t="s">
        <v>55</v>
      </c>
      <c r="E851" s="2">
        <v>0</v>
      </c>
    </row>
    <row r="852" spans="1:5" x14ac:dyDescent="0.25">
      <c r="A852">
        <v>2025</v>
      </c>
      <c r="B852" s="4">
        <v>45962</v>
      </c>
      <c r="C852" t="s">
        <v>110</v>
      </c>
      <c r="D852" t="s">
        <v>55</v>
      </c>
      <c r="E852" s="2">
        <v>0</v>
      </c>
    </row>
    <row r="853" spans="1:5" x14ac:dyDescent="0.25">
      <c r="A853">
        <v>2025</v>
      </c>
      <c r="B853" s="4">
        <v>45992</v>
      </c>
      <c r="C853" t="s">
        <v>110</v>
      </c>
      <c r="D853" t="s">
        <v>55</v>
      </c>
      <c r="E853" s="2">
        <v>63.9</v>
      </c>
    </row>
    <row r="854" spans="1:5" x14ac:dyDescent="0.25">
      <c r="A854">
        <v>2025</v>
      </c>
      <c r="B854" s="4">
        <v>45658</v>
      </c>
      <c r="C854" t="s">
        <v>110</v>
      </c>
      <c r="D854" t="s">
        <v>42</v>
      </c>
      <c r="E854" s="2">
        <v>0</v>
      </c>
    </row>
    <row r="855" spans="1:5" x14ac:dyDescent="0.25">
      <c r="A855">
        <v>2025</v>
      </c>
      <c r="B855" s="4">
        <v>45689</v>
      </c>
      <c r="C855" t="s">
        <v>110</v>
      </c>
      <c r="D855" t="s">
        <v>42</v>
      </c>
      <c r="E855" s="2">
        <v>0</v>
      </c>
    </row>
    <row r="856" spans="1:5" x14ac:dyDescent="0.25">
      <c r="A856">
        <v>2025</v>
      </c>
      <c r="B856" s="4">
        <v>45717</v>
      </c>
      <c r="C856" t="s">
        <v>110</v>
      </c>
      <c r="D856" t="s">
        <v>42</v>
      </c>
      <c r="E856" s="2">
        <v>0</v>
      </c>
    </row>
    <row r="857" spans="1:5" x14ac:dyDescent="0.25">
      <c r="A857">
        <v>2025</v>
      </c>
      <c r="B857" s="4">
        <v>45748</v>
      </c>
      <c r="C857" t="s">
        <v>110</v>
      </c>
      <c r="D857" t="s">
        <v>42</v>
      </c>
      <c r="E857" s="2">
        <v>0</v>
      </c>
    </row>
    <row r="858" spans="1:5" x14ac:dyDescent="0.25">
      <c r="A858">
        <v>2025</v>
      </c>
      <c r="B858" s="4">
        <v>45778</v>
      </c>
      <c r="C858" t="s">
        <v>110</v>
      </c>
      <c r="D858" t="s">
        <v>42</v>
      </c>
      <c r="E858" s="2">
        <v>0</v>
      </c>
    </row>
    <row r="859" spans="1:5" x14ac:dyDescent="0.25">
      <c r="A859">
        <v>2025</v>
      </c>
      <c r="B859" s="4">
        <v>45809</v>
      </c>
      <c r="C859" t="s">
        <v>110</v>
      </c>
      <c r="D859" t="s">
        <v>42</v>
      </c>
      <c r="E859" s="2">
        <v>63.52</v>
      </c>
    </row>
    <row r="860" spans="1:5" x14ac:dyDescent="0.25">
      <c r="A860">
        <v>2025</v>
      </c>
      <c r="B860" s="4">
        <v>45839</v>
      </c>
      <c r="C860" t="s">
        <v>110</v>
      </c>
      <c r="D860" t="s">
        <v>42</v>
      </c>
      <c r="E860" s="2">
        <v>0</v>
      </c>
    </row>
    <row r="861" spans="1:5" x14ac:dyDescent="0.25">
      <c r="A861">
        <v>2025</v>
      </c>
      <c r="B861" s="4">
        <v>45870</v>
      </c>
      <c r="C861" t="s">
        <v>110</v>
      </c>
      <c r="D861" t="s">
        <v>42</v>
      </c>
      <c r="E861" s="2">
        <v>0</v>
      </c>
    </row>
    <row r="862" spans="1:5" x14ac:dyDescent="0.25">
      <c r="A862">
        <v>2025</v>
      </c>
      <c r="B862" s="4">
        <v>45901</v>
      </c>
      <c r="C862" t="s">
        <v>110</v>
      </c>
      <c r="D862" t="s">
        <v>42</v>
      </c>
      <c r="E862" s="2">
        <v>0</v>
      </c>
    </row>
    <row r="863" spans="1:5" x14ac:dyDescent="0.25">
      <c r="A863">
        <v>2025</v>
      </c>
      <c r="B863" s="4">
        <v>45931</v>
      </c>
      <c r="C863" t="s">
        <v>110</v>
      </c>
      <c r="D863" t="s">
        <v>42</v>
      </c>
      <c r="E863" s="2">
        <v>0</v>
      </c>
    </row>
    <row r="864" spans="1:5" x14ac:dyDescent="0.25">
      <c r="A864">
        <v>2025</v>
      </c>
      <c r="B864" s="4">
        <v>45962</v>
      </c>
      <c r="C864" t="s">
        <v>110</v>
      </c>
      <c r="D864" t="s">
        <v>42</v>
      </c>
      <c r="E864" s="2">
        <v>0</v>
      </c>
    </row>
    <row r="865" spans="1:5" x14ac:dyDescent="0.25">
      <c r="A865">
        <v>2025</v>
      </c>
      <c r="B865" s="4">
        <v>45992</v>
      </c>
      <c r="C865" t="s">
        <v>110</v>
      </c>
      <c r="D865" t="s">
        <v>42</v>
      </c>
      <c r="E865" s="2">
        <v>0</v>
      </c>
    </row>
    <row r="866" spans="1:5" x14ac:dyDescent="0.25">
      <c r="A866">
        <v>2025</v>
      </c>
      <c r="B866" s="4">
        <v>45658</v>
      </c>
      <c r="C866" t="s">
        <v>110</v>
      </c>
      <c r="D866" t="s">
        <v>52</v>
      </c>
      <c r="E866" s="2">
        <v>0</v>
      </c>
    </row>
    <row r="867" spans="1:5" x14ac:dyDescent="0.25">
      <c r="A867">
        <v>2025</v>
      </c>
      <c r="B867" s="4">
        <v>45689</v>
      </c>
      <c r="C867" t="s">
        <v>110</v>
      </c>
      <c r="D867" t="s">
        <v>52</v>
      </c>
      <c r="E867" s="2">
        <v>0</v>
      </c>
    </row>
    <row r="868" spans="1:5" x14ac:dyDescent="0.25">
      <c r="A868">
        <v>2025</v>
      </c>
      <c r="B868" s="4">
        <v>45717</v>
      </c>
      <c r="C868" t="s">
        <v>110</v>
      </c>
      <c r="D868" t="s">
        <v>52</v>
      </c>
      <c r="E868" s="2">
        <v>0</v>
      </c>
    </row>
    <row r="869" spans="1:5" x14ac:dyDescent="0.25">
      <c r="A869">
        <v>2025</v>
      </c>
      <c r="B869" s="4">
        <v>45748</v>
      </c>
      <c r="C869" t="s">
        <v>110</v>
      </c>
      <c r="D869" t="s">
        <v>52</v>
      </c>
      <c r="E869" s="2">
        <v>0</v>
      </c>
    </row>
    <row r="870" spans="1:5" x14ac:dyDescent="0.25">
      <c r="A870">
        <v>2025</v>
      </c>
      <c r="B870" s="4">
        <v>45778</v>
      </c>
      <c r="C870" t="s">
        <v>110</v>
      </c>
      <c r="D870" t="s">
        <v>52</v>
      </c>
      <c r="E870" s="2">
        <v>15</v>
      </c>
    </row>
    <row r="871" spans="1:5" x14ac:dyDescent="0.25">
      <c r="A871">
        <v>2025</v>
      </c>
      <c r="B871" s="4">
        <v>45809</v>
      </c>
      <c r="C871" t="s">
        <v>110</v>
      </c>
      <c r="D871" t="s">
        <v>52</v>
      </c>
      <c r="E871" s="2">
        <v>0</v>
      </c>
    </row>
    <row r="872" spans="1:5" x14ac:dyDescent="0.25">
      <c r="A872">
        <v>2025</v>
      </c>
      <c r="B872" s="4">
        <v>45839</v>
      </c>
      <c r="C872" t="s">
        <v>110</v>
      </c>
      <c r="D872" t="s">
        <v>52</v>
      </c>
      <c r="E872" s="2">
        <v>0</v>
      </c>
    </row>
    <row r="873" spans="1:5" x14ac:dyDescent="0.25">
      <c r="A873">
        <v>2025</v>
      </c>
      <c r="B873" s="4">
        <v>45870</v>
      </c>
      <c r="C873" t="s">
        <v>110</v>
      </c>
      <c r="D873" t="s">
        <v>52</v>
      </c>
      <c r="E873" s="2">
        <v>0</v>
      </c>
    </row>
    <row r="874" spans="1:5" x14ac:dyDescent="0.25">
      <c r="A874">
        <v>2025</v>
      </c>
      <c r="B874" s="4">
        <v>45901</v>
      </c>
      <c r="C874" t="s">
        <v>110</v>
      </c>
      <c r="D874" t="s">
        <v>52</v>
      </c>
      <c r="E874" s="2">
        <v>0</v>
      </c>
    </row>
    <row r="875" spans="1:5" x14ac:dyDescent="0.25">
      <c r="A875">
        <v>2025</v>
      </c>
      <c r="B875" s="4">
        <v>45931</v>
      </c>
      <c r="C875" t="s">
        <v>110</v>
      </c>
      <c r="D875" t="s">
        <v>52</v>
      </c>
      <c r="E875" s="2">
        <v>0</v>
      </c>
    </row>
    <row r="876" spans="1:5" x14ac:dyDescent="0.25">
      <c r="A876">
        <v>2025</v>
      </c>
      <c r="B876" s="4">
        <v>45962</v>
      </c>
      <c r="C876" t="s">
        <v>110</v>
      </c>
      <c r="D876" t="s">
        <v>52</v>
      </c>
      <c r="E876" s="2">
        <v>0</v>
      </c>
    </row>
    <row r="877" spans="1:5" x14ac:dyDescent="0.25">
      <c r="A877">
        <v>2025</v>
      </c>
      <c r="B877" s="4">
        <v>45992</v>
      </c>
      <c r="C877" t="s">
        <v>110</v>
      </c>
      <c r="D877" t="s">
        <v>52</v>
      </c>
      <c r="E877" s="2">
        <v>0</v>
      </c>
    </row>
    <row r="878" spans="1:5" x14ac:dyDescent="0.25">
      <c r="A878">
        <v>2025</v>
      </c>
      <c r="B878" s="4">
        <v>45658</v>
      </c>
      <c r="C878" t="s">
        <v>112</v>
      </c>
      <c r="D878" t="s">
        <v>46</v>
      </c>
      <c r="E878" s="2">
        <v>3397</v>
      </c>
    </row>
    <row r="879" spans="1:5" x14ac:dyDescent="0.25">
      <c r="A879">
        <v>2025</v>
      </c>
      <c r="B879" s="4">
        <v>45689</v>
      </c>
      <c r="C879" t="s">
        <v>112</v>
      </c>
      <c r="D879" t="s">
        <v>46</v>
      </c>
      <c r="E879" s="2">
        <v>1397</v>
      </c>
    </row>
    <row r="880" spans="1:5" x14ac:dyDescent="0.25">
      <c r="A880">
        <v>2025</v>
      </c>
      <c r="B880" s="4">
        <v>45717</v>
      </c>
      <c r="C880" t="s">
        <v>112</v>
      </c>
      <c r="D880" t="s">
        <v>46</v>
      </c>
      <c r="E880" s="2">
        <v>2397</v>
      </c>
    </row>
    <row r="881" spans="1:5" x14ac:dyDescent="0.25">
      <c r="A881">
        <v>2025</v>
      </c>
      <c r="B881" s="4">
        <v>45748</v>
      </c>
      <c r="C881" t="s">
        <v>112</v>
      </c>
      <c r="D881" t="s">
        <v>46</v>
      </c>
      <c r="E881" s="2">
        <v>2397</v>
      </c>
    </row>
    <row r="882" spans="1:5" x14ac:dyDescent="0.25">
      <c r="A882">
        <v>2025</v>
      </c>
      <c r="B882" s="4">
        <v>45778</v>
      </c>
      <c r="C882" t="s">
        <v>112</v>
      </c>
      <c r="D882" t="s">
        <v>46</v>
      </c>
      <c r="E882" s="2">
        <v>2397</v>
      </c>
    </row>
    <row r="883" spans="1:5" x14ac:dyDescent="0.25">
      <c r="A883">
        <v>2025</v>
      </c>
      <c r="B883" s="4">
        <v>45809</v>
      </c>
      <c r="C883" t="s">
        <v>112</v>
      </c>
      <c r="D883" t="s">
        <v>46</v>
      </c>
      <c r="E883" s="2">
        <v>2397</v>
      </c>
    </row>
    <row r="884" spans="1:5" x14ac:dyDescent="0.25">
      <c r="A884">
        <v>2025</v>
      </c>
      <c r="B884" s="4">
        <v>45839</v>
      </c>
      <c r="C884" t="s">
        <v>112</v>
      </c>
      <c r="D884" t="s">
        <v>46</v>
      </c>
      <c r="E884" s="2">
        <v>2397</v>
      </c>
    </row>
    <row r="885" spans="1:5" x14ac:dyDescent="0.25">
      <c r="A885">
        <v>2025</v>
      </c>
      <c r="B885" s="4">
        <v>45870</v>
      </c>
      <c r="C885" t="s">
        <v>112</v>
      </c>
      <c r="D885" t="s">
        <v>46</v>
      </c>
      <c r="E885" s="2">
        <v>2397</v>
      </c>
    </row>
    <row r="886" spans="1:5" x14ac:dyDescent="0.25">
      <c r="A886">
        <v>2025</v>
      </c>
      <c r="B886" s="4">
        <v>45901</v>
      </c>
      <c r="C886" t="s">
        <v>112</v>
      </c>
      <c r="D886" t="s">
        <v>46</v>
      </c>
      <c r="E886" s="2">
        <v>2397</v>
      </c>
    </row>
    <row r="887" spans="1:5" x14ac:dyDescent="0.25">
      <c r="A887">
        <v>2025</v>
      </c>
      <c r="B887" s="4">
        <v>45931</v>
      </c>
      <c r="C887" t="s">
        <v>112</v>
      </c>
      <c r="D887" t="s">
        <v>46</v>
      </c>
      <c r="E887" s="2">
        <v>3397</v>
      </c>
    </row>
    <row r="888" spans="1:5" x14ac:dyDescent="0.25">
      <c r="A888">
        <v>2025</v>
      </c>
      <c r="B888" s="4">
        <v>45962</v>
      </c>
      <c r="C888" t="s">
        <v>112</v>
      </c>
      <c r="D888" t="s">
        <v>46</v>
      </c>
      <c r="E888" s="2">
        <v>1397</v>
      </c>
    </row>
    <row r="889" spans="1:5" x14ac:dyDescent="0.25">
      <c r="A889">
        <v>2025</v>
      </c>
      <c r="B889" s="4">
        <v>45992</v>
      </c>
      <c r="C889" t="s">
        <v>112</v>
      </c>
      <c r="D889" t="s">
        <v>46</v>
      </c>
      <c r="E889" s="2">
        <v>2397</v>
      </c>
    </row>
    <row r="890" spans="1:5" x14ac:dyDescent="0.25">
      <c r="A890">
        <v>2025</v>
      </c>
      <c r="B890" s="4">
        <v>45658</v>
      </c>
      <c r="C890" t="s">
        <v>112</v>
      </c>
      <c r="D890" t="s">
        <v>26</v>
      </c>
      <c r="E890" s="2">
        <v>0</v>
      </c>
    </row>
    <row r="891" spans="1:5" x14ac:dyDescent="0.25">
      <c r="A891">
        <v>2025</v>
      </c>
      <c r="B891" s="4">
        <v>45689</v>
      </c>
      <c r="C891" t="s">
        <v>112</v>
      </c>
      <c r="D891" t="s">
        <v>26</v>
      </c>
      <c r="E891" s="2">
        <v>0</v>
      </c>
    </row>
    <row r="892" spans="1:5" x14ac:dyDescent="0.25">
      <c r="A892">
        <v>2025</v>
      </c>
      <c r="B892" s="4">
        <v>45717</v>
      </c>
      <c r="C892" t="s">
        <v>112</v>
      </c>
      <c r="D892" t="s">
        <v>26</v>
      </c>
      <c r="E892" s="2">
        <v>0</v>
      </c>
    </row>
    <row r="893" spans="1:5" x14ac:dyDescent="0.25">
      <c r="A893">
        <v>2025</v>
      </c>
      <c r="B893" s="4">
        <v>45748</v>
      </c>
      <c r="C893" t="s">
        <v>112</v>
      </c>
      <c r="D893" t="s">
        <v>26</v>
      </c>
      <c r="E893" s="2">
        <v>0</v>
      </c>
    </row>
    <row r="894" spans="1:5" x14ac:dyDescent="0.25">
      <c r="A894">
        <v>2025</v>
      </c>
      <c r="B894" s="4">
        <v>45778</v>
      </c>
      <c r="C894" t="s">
        <v>112</v>
      </c>
      <c r="D894" t="s">
        <v>26</v>
      </c>
      <c r="E894" s="2">
        <v>0</v>
      </c>
    </row>
    <row r="895" spans="1:5" x14ac:dyDescent="0.25">
      <c r="A895">
        <v>2025</v>
      </c>
      <c r="B895" s="4">
        <v>45809</v>
      </c>
      <c r="C895" t="s">
        <v>112</v>
      </c>
      <c r="D895" t="s">
        <v>26</v>
      </c>
      <c r="E895" s="2">
        <v>0</v>
      </c>
    </row>
    <row r="896" spans="1:5" x14ac:dyDescent="0.25">
      <c r="A896">
        <v>2025</v>
      </c>
      <c r="B896" s="4">
        <v>45839</v>
      </c>
      <c r="C896" t="s">
        <v>112</v>
      </c>
      <c r="D896" t="s">
        <v>26</v>
      </c>
      <c r="E896" s="2">
        <v>5100</v>
      </c>
    </row>
    <row r="897" spans="1:5" x14ac:dyDescent="0.25">
      <c r="A897">
        <v>2025</v>
      </c>
      <c r="B897" s="4">
        <v>45870</v>
      </c>
      <c r="C897" t="s">
        <v>112</v>
      </c>
      <c r="D897" t="s">
        <v>26</v>
      </c>
      <c r="E897" s="2">
        <v>0</v>
      </c>
    </row>
    <row r="898" spans="1:5" x14ac:dyDescent="0.25">
      <c r="A898">
        <v>2025</v>
      </c>
      <c r="B898" s="4">
        <v>45901</v>
      </c>
      <c r="C898" t="s">
        <v>112</v>
      </c>
      <c r="D898" t="s">
        <v>26</v>
      </c>
      <c r="E898" s="2">
        <v>1190</v>
      </c>
    </row>
    <row r="899" spans="1:5" x14ac:dyDescent="0.25">
      <c r="A899">
        <v>2025</v>
      </c>
      <c r="B899" s="4">
        <v>45931</v>
      </c>
      <c r="C899" t="s">
        <v>112</v>
      </c>
      <c r="D899" t="s">
        <v>26</v>
      </c>
      <c r="E899" s="2">
        <v>0</v>
      </c>
    </row>
    <row r="900" spans="1:5" x14ac:dyDescent="0.25">
      <c r="A900">
        <v>2025</v>
      </c>
      <c r="B900" s="4">
        <v>45962</v>
      </c>
      <c r="C900" t="s">
        <v>112</v>
      </c>
      <c r="D900" t="s">
        <v>26</v>
      </c>
      <c r="E900" s="2">
        <v>0</v>
      </c>
    </row>
    <row r="901" spans="1:5" x14ac:dyDescent="0.25">
      <c r="A901">
        <v>2025</v>
      </c>
      <c r="B901" s="4">
        <v>45992</v>
      </c>
      <c r="C901" t="s">
        <v>112</v>
      </c>
      <c r="D901" t="s">
        <v>26</v>
      </c>
      <c r="E901" s="2">
        <v>0</v>
      </c>
    </row>
    <row r="902" spans="1:5" x14ac:dyDescent="0.25">
      <c r="A902">
        <v>2025</v>
      </c>
      <c r="B902" s="4">
        <v>45658</v>
      </c>
      <c r="C902" t="s">
        <v>112</v>
      </c>
      <c r="D902" t="s">
        <v>54</v>
      </c>
      <c r="E902" s="2">
        <v>0</v>
      </c>
    </row>
    <row r="903" spans="1:5" x14ac:dyDescent="0.25">
      <c r="A903">
        <v>2025</v>
      </c>
      <c r="B903" s="4">
        <v>45689</v>
      </c>
      <c r="C903" t="s">
        <v>112</v>
      </c>
      <c r="D903" t="s">
        <v>54</v>
      </c>
      <c r="E903" s="2">
        <v>0</v>
      </c>
    </row>
    <row r="904" spans="1:5" x14ac:dyDescent="0.25">
      <c r="A904">
        <v>2025</v>
      </c>
      <c r="B904" s="4">
        <v>45717</v>
      </c>
      <c r="C904" t="s">
        <v>112</v>
      </c>
      <c r="D904" t="s">
        <v>54</v>
      </c>
      <c r="E904" s="2">
        <v>0</v>
      </c>
    </row>
    <row r="905" spans="1:5" x14ac:dyDescent="0.25">
      <c r="A905">
        <v>2025</v>
      </c>
      <c r="B905" s="4">
        <v>45748</v>
      </c>
      <c r="C905" t="s">
        <v>112</v>
      </c>
      <c r="D905" t="s">
        <v>54</v>
      </c>
      <c r="E905" s="2">
        <v>184</v>
      </c>
    </row>
    <row r="906" spans="1:5" x14ac:dyDescent="0.25">
      <c r="A906">
        <v>2025</v>
      </c>
      <c r="B906" s="4">
        <v>45778</v>
      </c>
      <c r="C906" t="s">
        <v>112</v>
      </c>
      <c r="D906" t="s">
        <v>54</v>
      </c>
      <c r="E906" s="2">
        <v>0</v>
      </c>
    </row>
    <row r="907" spans="1:5" x14ac:dyDescent="0.25">
      <c r="A907">
        <v>2025</v>
      </c>
      <c r="B907" s="4">
        <v>45809</v>
      </c>
      <c r="C907" t="s">
        <v>112</v>
      </c>
      <c r="D907" t="s">
        <v>54</v>
      </c>
      <c r="E907" s="2">
        <v>0</v>
      </c>
    </row>
    <row r="908" spans="1:5" x14ac:dyDescent="0.25">
      <c r="A908">
        <v>2025</v>
      </c>
      <c r="B908" s="4">
        <v>45839</v>
      </c>
      <c r="C908" t="s">
        <v>112</v>
      </c>
      <c r="D908" t="s">
        <v>54</v>
      </c>
      <c r="E908" s="2">
        <v>0</v>
      </c>
    </row>
    <row r="909" spans="1:5" x14ac:dyDescent="0.25">
      <c r="A909">
        <v>2025</v>
      </c>
      <c r="B909" s="4">
        <v>45870</v>
      </c>
      <c r="C909" t="s">
        <v>112</v>
      </c>
      <c r="D909" t="s">
        <v>54</v>
      </c>
      <c r="E909" s="2">
        <v>0</v>
      </c>
    </row>
    <row r="910" spans="1:5" x14ac:dyDescent="0.25">
      <c r="A910">
        <v>2025</v>
      </c>
      <c r="B910" s="4">
        <v>45901</v>
      </c>
      <c r="C910" t="s">
        <v>112</v>
      </c>
      <c r="D910" t="s">
        <v>54</v>
      </c>
      <c r="E910" s="2">
        <v>0</v>
      </c>
    </row>
    <row r="911" spans="1:5" x14ac:dyDescent="0.25">
      <c r="A911">
        <v>2025</v>
      </c>
      <c r="B911" s="4">
        <v>45931</v>
      </c>
      <c r="C911" t="s">
        <v>112</v>
      </c>
      <c r="D911" t="s">
        <v>54</v>
      </c>
      <c r="E911" s="2">
        <v>0</v>
      </c>
    </row>
    <row r="912" spans="1:5" x14ac:dyDescent="0.25">
      <c r="A912">
        <v>2025</v>
      </c>
      <c r="B912" s="4">
        <v>45962</v>
      </c>
      <c r="C912" t="s">
        <v>112</v>
      </c>
      <c r="D912" t="s">
        <v>54</v>
      </c>
      <c r="E912" s="2">
        <v>0</v>
      </c>
    </row>
    <row r="913" spans="1:5" x14ac:dyDescent="0.25">
      <c r="A913">
        <v>2025</v>
      </c>
      <c r="B913" s="4">
        <v>45992</v>
      </c>
      <c r="C913" t="s">
        <v>112</v>
      </c>
      <c r="D913" t="s">
        <v>54</v>
      </c>
      <c r="E913" s="2">
        <v>0</v>
      </c>
    </row>
    <row r="914" spans="1:5" x14ac:dyDescent="0.25">
      <c r="A914">
        <v>2025</v>
      </c>
      <c r="B914" s="4">
        <v>45658</v>
      </c>
      <c r="C914" t="s">
        <v>113</v>
      </c>
      <c r="D914" t="s">
        <v>59</v>
      </c>
      <c r="E914" s="2">
        <v>0</v>
      </c>
    </row>
    <row r="915" spans="1:5" x14ac:dyDescent="0.25">
      <c r="A915">
        <v>2025</v>
      </c>
      <c r="B915" s="4">
        <v>45689</v>
      </c>
      <c r="C915" t="s">
        <v>113</v>
      </c>
      <c r="D915" t="s">
        <v>59</v>
      </c>
      <c r="E915" s="2">
        <v>0</v>
      </c>
    </row>
    <row r="916" spans="1:5" x14ac:dyDescent="0.25">
      <c r="A916">
        <v>2025</v>
      </c>
      <c r="B916" s="4">
        <v>45717</v>
      </c>
      <c r="C916" t="s">
        <v>113</v>
      </c>
      <c r="D916" t="s">
        <v>59</v>
      </c>
      <c r="E916" s="2">
        <v>0</v>
      </c>
    </row>
    <row r="917" spans="1:5" x14ac:dyDescent="0.25">
      <c r="A917">
        <v>2025</v>
      </c>
      <c r="B917" s="4">
        <v>45748</v>
      </c>
      <c r="C917" t="s">
        <v>113</v>
      </c>
      <c r="D917" t="s">
        <v>59</v>
      </c>
      <c r="E917" s="2">
        <v>303.05</v>
      </c>
    </row>
    <row r="918" spans="1:5" x14ac:dyDescent="0.25">
      <c r="A918">
        <v>2025</v>
      </c>
      <c r="B918" s="4">
        <v>45778</v>
      </c>
      <c r="C918" t="s">
        <v>113</v>
      </c>
      <c r="D918" t="s">
        <v>59</v>
      </c>
      <c r="E918" s="2">
        <v>0</v>
      </c>
    </row>
    <row r="919" spans="1:5" x14ac:dyDescent="0.25">
      <c r="A919">
        <v>2025</v>
      </c>
      <c r="B919" s="4">
        <v>45809</v>
      </c>
      <c r="C919" t="s">
        <v>113</v>
      </c>
      <c r="D919" t="s">
        <v>59</v>
      </c>
      <c r="E919" s="2">
        <v>0</v>
      </c>
    </row>
    <row r="920" spans="1:5" x14ac:dyDescent="0.25">
      <c r="A920">
        <v>2025</v>
      </c>
      <c r="B920" s="4">
        <v>45839</v>
      </c>
      <c r="C920" t="s">
        <v>113</v>
      </c>
      <c r="D920" t="s">
        <v>59</v>
      </c>
      <c r="E920" s="2">
        <v>3331.22</v>
      </c>
    </row>
    <row r="921" spans="1:5" x14ac:dyDescent="0.25">
      <c r="A921">
        <v>2025</v>
      </c>
      <c r="B921" s="4">
        <v>45870</v>
      </c>
      <c r="C921" t="s">
        <v>113</v>
      </c>
      <c r="D921" t="s">
        <v>59</v>
      </c>
      <c r="E921" s="2">
        <v>0</v>
      </c>
    </row>
    <row r="922" spans="1:5" x14ac:dyDescent="0.25">
      <c r="A922">
        <v>2025</v>
      </c>
      <c r="B922" s="4">
        <v>45901</v>
      </c>
      <c r="C922" t="s">
        <v>113</v>
      </c>
      <c r="D922" t="s">
        <v>59</v>
      </c>
      <c r="E922" s="2">
        <v>5329.06</v>
      </c>
    </row>
    <row r="923" spans="1:5" x14ac:dyDescent="0.25">
      <c r="A923">
        <v>2025</v>
      </c>
      <c r="B923" s="4">
        <v>45931</v>
      </c>
      <c r="C923" t="s">
        <v>113</v>
      </c>
      <c r="D923" t="s">
        <v>59</v>
      </c>
      <c r="E923" s="2">
        <v>142</v>
      </c>
    </row>
    <row r="924" spans="1:5" x14ac:dyDescent="0.25">
      <c r="A924">
        <v>2025</v>
      </c>
      <c r="B924" s="4">
        <v>45962</v>
      </c>
      <c r="C924" t="s">
        <v>113</v>
      </c>
      <c r="D924" t="s">
        <v>59</v>
      </c>
      <c r="E924" s="2">
        <v>2410.3000000000002</v>
      </c>
    </row>
    <row r="925" spans="1:5" x14ac:dyDescent="0.25">
      <c r="A925">
        <v>2025</v>
      </c>
      <c r="B925" s="4">
        <v>45992</v>
      </c>
      <c r="C925" t="s">
        <v>113</v>
      </c>
      <c r="D925" t="s">
        <v>59</v>
      </c>
      <c r="E925" s="2">
        <v>0</v>
      </c>
    </row>
    <row r="926" spans="1:5" x14ac:dyDescent="0.25">
      <c r="A926">
        <v>2025</v>
      </c>
      <c r="B926" s="4">
        <v>45658</v>
      </c>
      <c r="C926" t="s">
        <v>113</v>
      </c>
      <c r="D926" t="s">
        <v>53</v>
      </c>
      <c r="E926" s="2">
        <v>1243.04</v>
      </c>
    </row>
    <row r="927" spans="1:5" x14ac:dyDescent="0.25">
      <c r="A927">
        <v>2025</v>
      </c>
      <c r="B927" s="4">
        <v>45689</v>
      </c>
      <c r="C927" t="s">
        <v>113</v>
      </c>
      <c r="D927" t="s">
        <v>53</v>
      </c>
      <c r="E927" s="2">
        <v>1243.04</v>
      </c>
    </row>
    <row r="928" spans="1:5" x14ac:dyDescent="0.25">
      <c r="A928">
        <v>2025</v>
      </c>
      <c r="B928" s="4">
        <v>45717</v>
      </c>
      <c r="C928" t="s">
        <v>113</v>
      </c>
      <c r="D928" t="s">
        <v>53</v>
      </c>
      <c r="E928" s="2">
        <v>1242.99</v>
      </c>
    </row>
    <row r="929" spans="1:5" x14ac:dyDescent="0.25">
      <c r="A929">
        <v>2025</v>
      </c>
      <c r="B929" s="4">
        <v>45748</v>
      </c>
      <c r="C929" t="s">
        <v>113</v>
      </c>
      <c r="D929" t="s">
        <v>53</v>
      </c>
      <c r="E929" s="2">
        <v>0</v>
      </c>
    </row>
    <row r="930" spans="1:5" x14ac:dyDescent="0.25">
      <c r="A930">
        <v>2025</v>
      </c>
      <c r="B930" s="4">
        <v>45778</v>
      </c>
      <c r="C930" t="s">
        <v>113</v>
      </c>
      <c r="D930" t="s">
        <v>53</v>
      </c>
      <c r="E930" s="2">
        <v>0</v>
      </c>
    </row>
    <row r="931" spans="1:5" x14ac:dyDescent="0.25">
      <c r="A931">
        <v>2025</v>
      </c>
      <c r="B931" s="4">
        <v>45809</v>
      </c>
      <c r="C931" t="s">
        <v>113</v>
      </c>
      <c r="D931" t="s">
        <v>53</v>
      </c>
      <c r="E931" s="2">
        <v>0</v>
      </c>
    </row>
    <row r="932" spans="1:5" x14ac:dyDescent="0.25">
      <c r="A932">
        <v>2025</v>
      </c>
      <c r="B932" s="4">
        <v>45839</v>
      </c>
      <c r="C932" t="s">
        <v>113</v>
      </c>
      <c r="D932" t="s">
        <v>53</v>
      </c>
      <c r="E932" s="2">
        <v>0</v>
      </c>
    </row>
    <row r="933" spans="1:5" x14ac:dyDescent="0.25">
      <c r="A933">
        <v>2025</v>
      </c>
      <c r="B933" s="4">
        <v>45870</v>
      </c>
      <c r="C933" t="s">
        <v>113</v>
      </c>
      <c r="D933" t="s">
        <v>53</v>
      </c>
      <c r="E933" s="2">
        <v>0</v>
      </c>
    </row>
    <row r="934" spans="1:5" x14ac:dyDescent="0.25">
      <c r="A934">
        <v>2025</v>
      </c>
      <c r="B934" s="4">
        <v>45901</v>
      </c>
      <c r="C934" t="s">
        <v>113</v>
      </c>
      <c r="D934" t="s">
        <v>53</v>
      </c>
      <c r="E934" s="2">
        <v>0</v>
      </c>
    </row>
    <row r="935" spans="1:5" x14ac:dyDescent="0.25">
      <c r="A935">
        <v>2025</v>
      </c>
      <c r="B935" s="4">
        <v>45931</v>
      </c>
      <c r="C935" t="s">
        <v>113</v>
      </c>
      <c r="D935" t="s">
        <v>53</v>
      </c>
      <c r="E935" s="2">
        <v>0</v>
      </c>
    </row>
    <row r="936" spans="1:5" x14ac:dyDescent="0.25">
      <c r="A936">
        <v>2025</v>
      </c>
      <c r="B936" s="4">
        <v>45962</v>
      </c>
      <c r="C936" t="s">
        <v>113</v>
      </c>
      <c r="D936" t="s">
        <v>53</v>
      </c>
      <c r="E936" s="2">
        <v>0</v>
      </c>
    </row>
    <row r="937" spans="1:5" x14ac:dyDescent="0.25">
      <c r="A937">
        <v>2025</v>
      </c>
      <c r="B937" s="4">
        <v>45992</v>
      </c>
      <c r="C937" t="s">
        <v>113</v>
      </c>
      <c r="D937" t="s">
        <v>53</v>
      </c>
      <c r="E937" s="2">
        <v>0</v>
      </c>
    </row>
    <row r="938" spans="1:5" x14ac:dyDescent="0.25">
      <c r="A938">
        <v>2025</v>
      </c>
      <c r="B938" s="4">
        <v>45658</v>
      </c>
      <c r="C938" t="s">
        <v>113</v>
      </c>
      <c r="D938" t="s">
        <v>46</v>
      </c>
      <c r="E938" s="2">
        <v>41.43</v>
      </c>
    </row>
    <row r="939" spans="1:5" x14ac:dyDescent="0.25">
      <c r="A939">
        <v>2025</v>
      </c>
      <c r="B939" s="4">
        <v>45689</v>
      </c>
      <c r="C939" t="s">
        <v>113</v>
      </c>
      <c r="D939" t="s">
        <v>46</v>
      </c>
      <c r="E939" s="2">
        <v>41.43</v>
      </c>
    </row>
    <row r="940" spans="1:5" x14ac:dyDescent="0.25">
      <c r="A940">
        <v>2025</v>
      </c>
      <c r="B940" s="4">
        <v>45717</v>
      </c>
      <c r="C940" t="s">
        <v>113</v>
      </c>
      <c r="D940" t="s">
        <v>46</v>
      </c>
      <c r="E940" s="2">
        <v>92.37</v>
      </c>
    </row>
    <row r="941" spans="1:5" x14ac:dyDescent="0.25">
      <c r="A941">
        <v>2025</v>
      </c>
      <c r="B941" s="4">
        <v>45748</v>
      </c>
      <c r="C941" t="s">
        <v>113</v>
      </c>
      <c r="D941" t="s">
        <v>46</v>
      </c>
      <c r="E941" s="2">
        <v>45.19</v>
      </c>
    </row>
    <row r="942" spans="1:5" x14ac:dyDescent="0.25">
      <c r="A942">
        <v>2025</v>
      </c>
      <c r="B942" s="4">
        <v>45778</v>
      </c>
      <c r="C942" t="s">
        <v>113</v>
      </c>
      <c r="D942" t="s">
        <v>46</v>
      </c>
      <c r="E942" s="2">
        <v>0</v>
      </c>
    </row>
    <row r="943" spans="1:5" x14ac:dyDescent="0.25">
      <c r="A943">
        <v>2025</v>
      </c>
      <c r="B943" s="4">
        <v>45809</v>
      </c>
      <c r="C943" t="s">
        <v>113</v>
      </c>
      <c r="D943" t="s">
        <v>46</v>
      </c>
      <c r="E943" s="2">
        <v>82.75</v>
      </c>
    </row>
    <row r="944" spans="1:5" x14ac:dyDescent="0.25">
      <c r="A944">
        <v>2025</v>
      </c>
      <c r="B944" s="4">
        <v>45839</v>
      </c>
      <c r="C944" t="s">
        <v>113</v>
      </c>
      <c r="D944" t="s">
        <v>46</v>
      </c>
      <c r="E944" s="2">
        <v>82.75</v>
      </c>
    </row>
    <row r="945" spans="1:5" x14ac:dyDescent="0.25">
      <c r="A945">
        <v>2025</v>
      </c>
      <c r="B945" s="4">
        <v>45870</v>
      </c>
      <c r="C945" t="s">
        <v>113</v>
      </c>
      <c r="D945" t="s">
        <v>46</v>
      </c>
      <c r="E945" s="2">
        <v>82.75</v>
      </c>
    </row>
    <row r="946" spans="1:5" x14ac:dyDescent="0.25">
      <c r="A946">
        <v>2025</v>
      </c>
      <c r="B946" s="4">
        <v>45901</v>
      </c>
      <c r="C946" t="s">
        <v>113</v>
      </c>
      <c r="D946" t="s">
        <v>46</v>
      </c>
      <c r="E946" s="2">
        <v>82.75</v>
      </c>
    </row>
    <row r="947" spans="1:5" x14ac:dyDescent="0.25">
      <c r="A947">
        <v>2025</v>
      </c>
      <c r="B947" s="4">
        <v>45931</v>
      </c>
      <c r="C947" t="s">
        <v>113</v>
      </c>
      <c r="D947" t="s">
        <v>46</v>
      </c>
      <c r="E947" s="2">
        <v>82.75</v>
      </c>
    </row>
    <row r="948" spans="1:5" x14ac:dyDescent="0.25">
      <c r="A948">
        <v>2025</v>
      </c>
      <c r="B948" s="4">
        <v>45962</v>
      </c>
      <c r="C948" t="s">
        <v>113</v>
      </c>
      <c r="D948" t="s">
        <v>46</v>
      </c>
      <c r="E948" s="2">
        <v>82.75</v>
      </c>
    </row>
    <row r="949" spans="1:5" x14ac:dyDescent="0.25">
      <c r="A949">
        <v>2025</v>
      </c>
      <c r="B949" s="4">
        <v>45992</v>
      </c>
      <c r="C949" t="s">
        <v>113</v>
      </c>
      <c r="D949" t="s">
        <v>46</v>
      </c>
      <c r="E949" s="2">
        <v>82.75</v>
      </c>
    </row>
    <row r="950" spans="1:5" x14ac:dyDescent="0.25">
      <c r="A950">
        <v>2025</v>
      </c>
      <c r="B950" s="4">
        <v>45658</v>
      </c>
      <c r="C950" t="s">
        <v>113</v>
      </c>
      <c r="D950" t="s">
        <v>25</v>
      </c>
      <c r="E950" s="2">
        <v>58.9</v>
      </c>
    </row>
    <row r="951" spans="1:5" x14ac:dyDescent="0.25">
      <c r="A951">
        <v>2025</v>
      </c>
      <c r="B951" s="4">
        <v>45689</v>
      </c>
      <c r="C951" t="s">
        <v>113</v>
      </c>
      <c r="D951" t="s">
        <v>25</v>
      </c>
      <c r="E951" s="2">
        <v>58.9</v>
      </c>
    </row>
    <row r="952" spans="1:5" x14ac:dyDescent="0.25">
      <c r="A952">
        <v>2025</v>
      </c>
      <c r="B952" s="4">
        <v>45717</v>
      </c>
      <c r="C952" t="s">
        <v>113</v>
      </c>
      <c r="D952" t="s">
        <v>25</v>
      </c>
      <c r="E952" s="2">
        <v>58.9</v>
      </c>
    </row>
    <row r="953" spans="1:5" x14ac:dyDescent="0.25">
      <c r="A953">
        <v>2025</v>
      </c>
      <c r="B953" s="4">
        <v>45748</v>
      </c>
      <c r="C953" t="s">
        <v>113</v>
      </c>
      <c r="D953" t="s">
        <v>25</v>
      </c>
      <c r="E953" s="2">
        <v>58.9</v>
      </c>
    </row>
    <row r="954" spans="1:5" x14ac:dyDescent="0.25">
      <c r="A954">
        <v>2025</v>
      </c>
      <c r="B954" s="4">
        <v>45778</v>
      </c>
      <c r="C954" t="s">
        <v>113</v>
      </c>
      <c r="D954" t="s">
        <v>25</v>
      </c>
      <c r="E954" s="2">
        <v>58.9</v>
      </c>
    </row>
    <row r="955" spans="1:5" x14ac:dyDescent="0.25">
      <c r="A955">
        <v>2025</v>
      </c>
      <c r="B955" s="4">
        <v>45809</v>
      </c>
      <c r="C955" t="s">
        <v>113</v>
      </c>
      <c r="D955" t="s">
        <v>25</v>
      </c>
      <c r="E955" s="2">
        <v>58.9</v>
      </c>
    </row>
    <row r="956" spans="1:5" x14ac:dyDescent="0.25">
      <c r="A956">
        <v>2025</v>
      </c>
      <c r="B956" s="4">
        <v>45839</v>
      </c>
      <c r="C956" t="s">
        <v>113</v>
      </c>
      <c r="D956" t="s">
        <v>25</v>
      </c>
      <c r="E956" s="2">
        <v>58.9</v>
      </c>
    </row>
    <row r="957" spans="1:5" x14ac:dyDescent="0.25">
      <c r="A957">
        <v>2025</v>
      </c>
      <c r="B957" s="4">
        <v>45870</v>
      </c>
      <c r="C957" t="s">
        <v>113</v>
      </c>
      <c r="D957" t="s">
        <v>25</v>
      </c>
      <c r="E957" s="2">
        <v>58.9</v>
      </c>
    </row>
    <row r="958" spans="1:5" x14ac:dyDescent="0.25">
      <c r="A958">
        <v>2025</v>
      </c>
      <c r="B958" s="4">
        <v>45901</v>
      </c>
      <c r="C958" t="s">
        <v>113</v>
      </c>
      <c r="D958" t="s">
        <v>25</v>
      </c>
      <c r="E958" s="2">
        <v>58.9</v>
      </c>
    </row>
    <row r="959" spans="1:5" x14ac:dyDescent="0.25">
      <c r="A959">
        <v>2025</v>
      </c>
      <c r="B959" s="4">
        <v>45931</v>
      </c>
      <c r="C959" t="s">
        <v>113</v>
      </c>
      <c r="D959" t="s">
        <v>25</v>
      </c>
      <c r="E959" s="2">
        <v>58.9</v>
      </c>
    </row>
    <row r="960" spans="1:5" x14ac:dyDescent="0.25">
      <c r="A960">
        <v>2025</v>
      </c>
      <c r="B960" s="4">
        <v>45962</v>
      </c>
      <c r="C960" t="s">
        <v>113</v>
      </c>
      <c r="D960" t="s">
        <v>25</v>
      </c>
      <c r="E960" s="2">
        <v>58.9</v>
      </c>
    </row>
    <row r="961" spans="1:5" x14ac:dyDescent="0.25">
      <c r="A961">
        <v>2025</v>
      </c>
      <c r="B961" s="4">
        <v>45992</v>
      </c>
      <c r="C961" t="s">
        <v>113</v>
      </c>
      <c r="D961" t="s">
        <v>25</v>
      </c>
      <c r="E961" s="2">
        <v>58.9</v>
      </c>
    </row>
    <row r="962" spans="1:5" x14ac:dyDescent="0.25">
      <c r="A962">
        <v>2025</v>
      </c>
      <c r="B962" s="4">
        <v>45658</v>
      </c>
      <c r="C962" t="s">
        <v>114</v>
      </c>
      <c r="D962" t="s">
        <v>115</v>
      </c>
      <c r="E962" s="2">
        <v>0</v>
      </c>
    </row>
    <row r="963" spans="1:5" x14ac:dyDescent="0.25">
      <c r="A963">
        <v>2025</v>
      </c>
      <c r="B963" s="4">
        <v>45689</v>
      </c>
      <c r="C963" t="s">
        <v>114</v>
      </c>
      <c r="D963" t="s">
        <v>115</v>
      </c>
      <c r="E963" s="2">
        <v>0</v>
      </c>
    </row>
    <row r="964" spans="1:5" x14ac:dyDescent="0.25">
      <c r="A964">
        <v>2025</v>
      </c>
      <c r="B964" s="4">
        <v>45717</v>
      </c>
      <c r="C964" t="s">
        <v>114</v>
      </c>
      <c r="D964" t="s">
        <v>115</v>
      </c>
      <c r="E964" s="2">
        <v>103.79</v>
      </c>
    </row>
    <row r="965" spans="1:5" x14ac:dyDescent="0.25">
      <c r="A965">
        <v>2025</v>
      </c>
      <c r="B965" s="4">
        <v>45748</v>
      </c>
      <c r="C965" t="s">
        <v>114</v>
      </c>
      <c r="D965" t="s">
        <v>115</v>
      </c>
      <c r="E965" s="2">
        <v>0</v>
      </c>
    </row>
    <row r="966" spans="1:5" x14ac:dyDescent="0.25">
      <c r="A966">
        <v>2025</v>
      </c>
      <c r="B966" s="4">
        <v>45778</v>
      </c>
      <c r="C966" t="s">
        <v>114</v>
      </c>
      <c r="D966" t="s">
        <v>115</v>
      </c>
      <c r="E966" s="2">
        <v>0</v>
      </c>
    </row>
    <row r="967" spans="1:5" x14ac:dyDescent="0.25">
      <c r="A967">
        <v>2025</v>
      </c>
      <c r="B967" s="4">
        <v>45809</v>
      </c>
      <c r="C967" t="s">
        <v>114</v>
      </c>
      <c r="D967" t="s">
        <v>115</v>
      </c>
      <c r="E967" s="2">
        <v>0</v>
      </c>
    </row>
    <row r="968" spans="1:5" x14ac:dyDescent="0.25">
      <c r="A968">
        <v>2025</v>
      </c>
      <c r="B968" s="4">
        <v>45839</v>
      </c>
      <c r="C968" t="s">
        <v>114</v>
      </c>
      <c r="D968" t="s">
        <v>115</v>
      </c>
      <c r="E968" s="2">
        <v>0</v>
      </c>
    </row>
    <row r="969" spans="1:5" x14ac:dyDescent="0.25">
      <c r="A969">
        <v>2025</v>
      </c>
      <c r="B969" s="4">
        <v>45870</v>
      </c>
      <c r="C969" t="s">
        <v>114</v>
      </c>
      <c r="D969" t="s">
        <v>115</v>
      </c>
      <c r="E969" s="2">
        <v>2100</v>
      </c>
    </row>
    <row r="970" spans="1:5" x14ac:dyDescent="0.25">
      <c r="A970">
        <v>2025</v>
      </c>
      <c r="B970" s="4">
        <v>45901</v>
      </c>
      <c r="C970" t="s">
        <v>114</v>
      </c>
      <c r="D970" t="s">
        <v>115</v>
      </c>
      <c r="E970" s="2">
        <v>0</v>
      </c>
    </row>
    <row r="971" spans="1:5" x14ac:dyDescent="0.25">
      <c r="A971">
        <v>2025</v>
      </c>
      <c r="B971" s="4">
        <v>45931</v>
      </c>
      <c r="C971" t="s">
        <v>114</v>
      </c>
      <c r="D971" t="s">
        <v>115</v>
      </c>
      <c r="E971" s="2">
        <v>0</v>
      </c>
    </row>
    <row r="972" spans="1:5" x14ac:dyDescent="0.25">
      <c r="A972">
        <v>2025</v>
      </c>
      <c r="B972" s="4">
        <v>45962</v>
      </c>
      <c r="C972" t="s">
        <v>114</v>
      </c>
      <c r="D972" t="s">
        <v>115</v>
      </c>
      <c r="E972" s="2">
        <v>0</v>
      </c>
    </row>
    <row r="973" spans="1:5" x14ac:dyDescent="0.25">
      <c r="A973">
        <v>2025</v>
      </c>
      <c r="B973" s="4">
        <v>45992</v>
      </c>
      <c r="C973" t="s">
        <v>114</v>
      </c>
      <c r="D973" t="s">
        <v>115</v>
      </c>
      <c r="E973" s="2">
        <v>0</v>
      </c>
    </row>
    <row r="974" spans="1:5" x14ac:dyDescent="0.25">
      <c r="A974">
        <v>2026</v>
      </c>
      <c r="B974" s="4">
        <v>46023</v>
      </c>
      <c r="C974" t="s">
        <v>109</v>
      </c>
      <c r="D974" t="s">
        <v>64</v>
      </c>
      <c r="E974" s="2">
        <v>290000</v>
      </c>
    </row>
    <row r="975" spans="1:5" x14ac:dyDescent="0.25">
      <c r="A975">
        <v>2026</v>
      </c>
      <c r="B975" s="4">
        <v>46054</v>
      </c>
      <c r="C975" t="s">
        <v>109</v>
      </c>
      <c r="D975" t="s">
        <v>64</v>
      </c>
      <c r="E975" s="2">
        <v>150000</v>
      </c>
    </row>
    <row r="976" spans="1:5" x14ac:dyDescent="0.25">
      <c r="A976">
        <v>2026</v>
      </c>
      <c r="B976" s="4">
        <v>46082</v>
      </c>
      <c r="C976" t="s">
        <v>109</v>
      </c>
      <c r="D976" t="s">
        <v>64</v>
      </c>
      <c r="E976" s="2">
        <v>140000</v>
      </c>
    </row>
    <row r="977" spans="1:5" x14ac:dyDescent="0.25">
      <c r="A977">
        <v>2026</v>
      </c>
      <c r="B977" s="4">
        <v>46113</v>
      </c>
      <c r="C977" t="s">
        <v>109</v>
      </c>
      <c r="D977" t="s">
        <v>64</v>
      </c>
      <c r="E977" s="2">
        <v>150000</v>
      </c>
    </row>
    <row r="978" spans="1:5" x14ac:dyDescent="0.25">
      <c r="A978">
        <v>2026</v>
      </c>
      <c r="B978" s="4">
        <v>46143</v>
      </c>
      <c r="C978" t="s">
        <v>109</v>
      </c>
      <c r="D978" t="s">
        <v>64</v>
      </c>
      <c r="E978" s="2">
        <v>100000</v>
      </c>
    </row>
    <row r="979" spans="1:5" x14ac:dyDescent="0.25">
      <c r="A979">
        <v>2026</v>
      </c>
      <c r="B979" s="4">
        <v>46023</v>
      </c>
      <c r="C979" t="s">
        <v>109</v>
      </c>
      <c r="D979" t="s">
        <v>56</v>
      </c>
      <c r="E979" s="2">
        <v>0</v>
      </c>
    </row>
    <row r="980" spans="1:5" x14ac:dyDescent="0.25">
      <c r="A980">
        <v>2026</v>
      </c>
      <c r="B980" s="4">
        <v>46054</v>
      </c>
      <c r="C980" t="s">
        <v>109</v>
      </c>
      <c r="D980" t="s">
        <v>56</v>
      </c>
      <c r="E980" s="2">
        <v>0</v>
      </c>
    </row>
    <row r="981" spans="1:5" x14ac:dyDescent="0.25">
      <c r="A981">
        <v>2026</v>
      </c>
      <c r="B981" s="4">
        <v>46082</v>
      </c>
      <c r="C981" t="s">
        <v>109</v>
      </c>
      <c r="D981" t="s">
        <v>56</v>
      </c>
      <c r="E981" s="2">
        <v>0</v>
      </c>
    </row>
    <row r="982" spans="1:5" x14ac:dyDescent="0.25">
      <c r="A982">
        <v>2026</v>
      </c>
      <c r="B982" s="4">
        <v>46113</v>
      </c>
      <c r="C982" t="s">
        <v>109</v>
      </c>
      <c r="D982" t="s">
        <v>56</v>
      </c>
      <c r="E982" s="2">
        <v>100</v>
      </c>
    </row>
    <row r="983" spans="1:5" x14ac:dyDescent="0.25">
      <c r="A983">
        <v>2026</v>
      </c>
      <c r="B983" s="4">
        <v>46143</v>
      </c>
      <c r="C983" t="s">
        <v>109</v>
      </c>
      <c r="D983" t="s">
        <v>56</v>
      </c>
      <c r="E983" s="2">
        <v>118.77</v>
      </c>
    </row>
    <row r="984" spans="1:5" x14ac:dyDescent="0.25">
      <c r="A984">
        <v>2026</v>
      </c>
      <c r="B984" s="4">
        <v>46023</v>
      </c>
      <c r="C984" t="s">
        <v>111</v>
      </c>
      <c r="D984" t="s">
        <v>24</v>
      </c>
      <c r="E984" s="2">
        <v>25627.5</v>
      </c>
    </row>
    <row r="985" spans="1:5" x14ac:dyDescent="0.25">
      <c r="A985">
        <v>2026</v>
      </c>
      <c r="B985" s="4">
        <v>46054</v>
      </c>
      <c r="C985" t="s">
        <v>111</v>
      </c>
      <c r="D985" t="s">
        <v>24</v>
      </c>
      <c r="E985" s="2">
        <v>56574.01</v>
      </c>
    </row>
    <row r="986" spans="1:5" x14ac:dyDescent="0.25">
      <c r="A986">
        <v>2026</v>
      </c>
      <c r="B986" s="4">
        <v>46082</v>
      </c>
      <c r="C986" t="s">
        <v>111</v>
      </c>
      <c r="D986" t="s">
        <v>24</v>
      </c>
      <c r="E986" s="2">
        <v>30764.76</v>
      </c>
    </row>
    <row r="987" spans="1:5" x14ac:dyDescent="0.25">
      <c r="A987">
        <v>2026</v>
      </c>
      <c r="B987" s="4">
        <v>46113</v>
      </c>
      <c r="C987" t="s">
        <v>111</v>
      </c>
      <c r="D987" t="s">
        <v>24</v>
      </c>
      <c r="E987" s="2">
        <v>32089.02</v>
      </c>
    </row>
    <row r="988" spans="1:5" x14ac:dyDescent="0.25">
      <c r="A988">
        <v>2026</v>
      </c>
      <c r="B988" s="4">
        <v>46143</v>
      </c>
      <c r="C988" t="s">
        <v>111</v>
      </c>
      <c r="D988" t="s">
        <v>24</v>
      </c>
      <c r="E988" s="2">
        <v>25916.1</v>
      </c>
    </row>
    <row r="989" spans="1:5" x14ac:dyDescent="0.25">
      <c r="A989">
        <v>2026</v>
      </c>
      <c r="B989" s="4">
        <v>46023</v>
      </c>
      <c r="C989" t="s">
        <v>111</v>
      </c>
      <c r="D989" t="s">
        <v>30</v>
      </c>
      <c r="E989" s="2">
        <v>611.48</v>
      </c>
    </row>
    <row r="990" spans="1:5" x14ac:dyDescent="0.25">
      <c r="A990">
        <v>2026</v>
      </c>
      <c r="B990" s="4">
        <v>46054</v>
      </c>
      <c r="C990" t="s">
        <v>111</v>
      </c>
      <c r="D990" t="s">
        <v>30</v>
      </c>
      <c r="E990" s="2">
        <v>506.06</v>
      </c>
    </row>
    <row r="991" spans="1:5" x14ac:dyDescent="0.25">
      <c r="A991">
        <v>2026</v>
      </c>
      <c r="B991" s="4">
        <v>46082</v>
      </c>
      <c r="C991" t="s">
        <v>111</v>
      </c>
      <c r="D991" t="s">
        <v>30</v>
      </c>
      <c r="E991" s="2">
        <v>533.9</v>
      </c>
    </row>
    <row r="992" spans="1:5" x14ac:dyDescent="0.25">
      <c r="A992">
        <v>2026</v>
      </c>
      <c r="B992" s="4">
        <v>46113</v>
      </c>
      <c r="C992" t="s">
        <v>111</v>
      </c>
      <c r="D992" t="s">
        <v>30</v>
      </c>
      <c r="E992" s="2">
        <v>570.36</v>
      </c>
    </row>
    <row r="993" spans="1:5" x14ac:dyDescent="0.25">
      <c r="A993">
        <v>2026</v>
      </c>
      <c r="B993" s="4">
        <v>46143</v>
      </c>
      <c r="C993" t="s">
        <v>111</v>
      </c>
      <c r="D993" t="s">
        <v>30</v>
      </c>
      <c r="E993" s="2">
        <v>664.09</v>
      </c>
    </row>
    <row r="994" spans="1:5" x14ac:dyDescent="0.25">
      <c r="A994">
        <v>2026</v>
      </c>
      <c r="B994" s="4">
        <v>46023</v>
      </c>
      <c r="C994" t="s">
        <v>110</v>
      </c>
      <c r="D994" t="s">
        <v>35</v>
      </c>
      <c r="E994" s="2">
        <v>6428.57</v>
      </c>
    </row>
    <row r="995" spans="1:5" x14ac:dyDescent="0.25">
      <c r="A995">
        <v>2026</v>
      </c>
      <c r="B995" s="4">
        <v>46054</v>
      </c>
      <c r="C995" t="s">
        <v>110</v>
      </c>
      <c r="D995" t="s">
        <v>35</v>
      </c>
      <c r="E995" s="2">
        <v>6443.79</v>
      </c>
    </row>
    <row r="996" spans="1:5" x14ac:dyDescent="0.25">
      <c r="A996">
        <v>2026</v>
      </c>
      <c r="B996" s="4">
        <v>46082</v>
      </c>
      <c r="C996" t="s">
        <v>110</v>
      </c>
      <c r="D996" t="s">
        <v>35</v>
      </c>
      <c r="E996" s="2">
        <v>6432.44</v>
      </c>
    </row>
    <row r="997" spans="1:5" x14ac:dyDescent="0.25">
      <c r="A997">
        <v>2026</v>
      </c>
      <c r="B997" s="4">
        <v>46113</v>
      </c>
      <c r="C997" t="s">
        <v>110</v>
      </c>
      <c r="D997" t="s">
        <v>35</v>
      </c>
      <c r="E997" s="2">
        <v>6411.33</v>
      </c>
    </row>
    <row r="998" spans="1:5" x14ac:dyDescent="0.25">
      <c r="A998">
        <v>2026</v>
      </c>
      <c r="B998" s="4">
        <v>46143</v>
      </c>
      <c r="C998" t="s">
        <v>110</v>
      </c>
      <c r="D998" t="s">
        <v>35</v>
      </c>
      <c r="E998" s="2">
        <v>6218.99</v>
      </c>
    </row>
    <row r="999" spans="1:5" x14ac:dyDescent="0.25">
      <c r="A999">
        <v>2026</v>
      </c>
      <c r="B999" s="4">
        <v>46023</v>
      </c>
      <c r="C999" t="s">
        <v>110</v>
      </c>
      <c r="D999" t="s">
        <v>37</v>
      </c>
      <c r="E999" s="2">
        <v>5778</v>
      </c>
    </row>
    <row r="1000" spans="1:5" x14ac:dyDescent="0.25">
      <c r="A1000">
        <v>2026</v>
      </c>
      <c r="B1000" s="4">
        <v>46054</v>
      </c>
      <c r="C1000" t="s">
        <v>110</v>
      </c>
      <c r="D1000" t="s">
        <v>37</v>
      </c>
      <c r="E1000" s="2">
        <v>5788</v>
      </c>
    </row>
    <row r="1001" spans="1:5" x14ac:dyDescent="0.25">
      <c r="A1001">
        <v>2026</v>
      </c>
      <c r="B1001" s="4">
        <v>46082</v>
      </c>
      <c r="C1001" t="s">
        <v>110</v>
      </c>
      <c r="D1001" t="s">
        <v>37</v>
      </c>
      <c r="E1001" s="2">
        <v>6015.2</v>
      </c>
    </row>
    <row r="1002" spans="1:5" x14ac:dyDescent="0.25">
      <c r="A1002">
        <v>2026</v>
      </c>
      <c r="B1002" s="4">
        <v>46113</v>
      </c>
      <c r="C1002" t="s">
        <v>110</v>
      </c>
      <c r="D1002" t="s">
        <v>37</v>
      </c>
      <c r="E1002" s="2">
        <v>5787</v>
      </c>
    </row>
    <row r="1003" spans="1:5" x14ac:dyDescent="0.25">
      <c r="A1003">
        <v>2026</v>
      </c>
      <c r="B1003" s="4">
        <v>46143</v>
      </c>
      <c r="C1003" t="s">
        <v>110</v>
      </c>
      <c r="D1003" t="s">
        <v>37</v>
      </c>
      <c r="E1003" s="2">
        <v>7280</v>
      </c>
    </row>
    <row r="1004" spans="1:5" x14ac:dyDescent="0.25">
      <c r="A1004">
        <v>2026</v>
      </c>
      <c r="B1004" s="4">
        <v>46023</v>
      </c>
      <c r="C1004" t="s">
        <v>110</v>
      </c>
      <c r="D1004" t="s">
        <v>40</v>
      </c>
      <c r="E1004" s="2">
        <v>2318</v>
      </c>
    </row>
    <row r="1005" spans="1:5" x14ac:dyDescent="0.25">
      <c r="A1005">
        <v>2026</v>
      </c>
      <c r="B1005" s="4">
        <v>46054</v>
      </c>
      <c r="C1005" t="s">
        <v>110</v>
      </c>
      <c r="D1005" t="s">
        <v>40</v>
      </c>
      <c r="E1005" s="2">
        <v>2622</v>
      </c>
    </row>
    <row r="1006" spans="1:5" x14ac:dyDescent="0.25">
      <c r="A1006">
        <v>2026</v>
      </c>
      <c r="B1006" s="4">
        <v>46082</v>
      </c>
      <c r="C1006" t="s">
        <v>110</v>
      </c>
      <c r="D1006" t="s">
        <v>40</v>
      </c>
      <c r="E1006" s="2">
        <v>2541</v>
      </c>
    </row>
    <row r="1007" spans="1:5" x14ac:dyDescent="0.25">
      <c r="A1007">
        <v>2026</v>
      </c>
      <c r="B1007" s="4">
        <v>46113</v>
      </c>
      <c r="C1007" t="s">
        <v>110</v>
      </c>
      <c r="D1007" t="s">
        <v>40</v>
      </c>
      <c r="E1007" s="2">
        <v>3578.75</v>
      </c>
    </row>
    <row r="1008" spans="1:5" x14ac:dyDescent="0.25">
      <c r="A1008">
        <v>2026</v>
      </c>
      <c r="B1008" s="4">
        <v>46143</v>
      </c>
      <c r="C1008" t="s">
        <v>110</v>
      </c>
      <c r="D1008" t="s">
        <v>40</v>
      </c>
      <c r="E1008" s="2">
        <v>3176.25</v>
      </c>
    </row>
    <row r="1009" spans="1:5" x14ac:dyDescent="0.25">
      <c r="A1009">
        <v>2026</v>
      </c>
      <c r="B1009" s="4">
        <v>46023</v>
      </c>
      <c r="C1009" t="s">
        <v>110</v>
      </c>
      <c r="D1009" t="s">
        <v>53</v>
      </c>
      <c r="E1009" s="2">
        <v>2900.04</v>
      </c>
    </row>
    <row r="1010" spans="1:5" x14ac:dyDescent="0.25">
      <c r="A1010">
        <v>2026</v>
      </c>
      <c r="B1010" s="4">
        <v>46054</v>
      </c>
      <c r="C1010" t="s">
        <v>110</v>
      </c>
      <c r="D1010" t="s">
        <v>53</v>
      </c>
      <c r="E1010" s="2">
        <v>2900.04</v>
      </c>
    </row>
    <row r="1011" spans="1:5" x14ac:dyDescent="0.25">
      <c r="A1011">
        <v>2026</v>
      </c>
      <c r="B1011" s="4">
        <v>46082</v>
      </c>
      <c r="C1011" t="s">
        <v>110</v>
      </c>
      <c r="D1011" t="s">
        <v>53</v>
      </c>
      <c r="E1011" s="2">
        <v>2900.05</v>
      </c>
    </row>
    <row r="1012" spans="1:5" x14ac:dyDescent="0.25">
      <c r="A1012">
        <v>2026</v>
      </c>
      <c r="B1012" s="4">
        <v>46113</v>
      </c>
      <c r="C1012" t="s">
        <v>110</v>
      </c>
      <c r="D1012" t="s">
        <v>53</v>
      </c>
      <c r="E1012" s="2">
        <v>2260.0100000000002</v>
      </c>
    </row>
    <row r="1013" spans="1:5" x14ac:dyDescent="0.25">
      <c r="A1013">
        <v>2026</v>
      </c>
      <c r="B1013" s="4">
        <v>46143</v>
      </c>
      <c r="C1013" t="s">
        <v>110</v>
      </c>
      <c r="D1013" t="s">
        <v>53</v>
      </c>
      <c r="E1013" s="2">
        <v>2260.0100000000002</v>
      </c>
    </row>
    <row r="1014" spans="1:5" x14ac:dyDescent="0.25">
      <c r="A1014">
        <v>2026</v>
      </c>
      <c r="B1014" s="4">
        <v>46023</v>
      </c>
      <c r="C1014" t="s">
        <v>110</v>
      </c>
      <c r="D1014" t="s">
        <v>33</v>
      </c>
      <c r="E1014" s="2">
        <v>2363.94</v>
      </c>
    </row>
    <row r="1015" spans="1:5" x14ac:dyDescent="0.25">
      <c r="A1015">
        <v>2026</v>
      </c>
      <c r="B1015" s="4">
        <v>46054</v>
      </c>
      <c r="C1015" t="s">
        <v>110</v>
      </c>
      <c r="D1015" t="s">
        <v>33</v>
      </c>
      <c r="E1015" s="2">
        <v>2335.58</v>
      </c>
    </row>
    <row r="1016" spans="1:5" x14ac:dyDescent="0.25">
      <c r="A1016">
        <v>2026</v>
      </c>
      <c r="B1016" s="4">
        <v>46082</v>
      </c>
      <c r="C1016" t="s">
        <v>110</v>
      </c>
      <c r="D1016" t="s">
        <v>33</v>
      </c>
      <c r="E1016" s="2">
        <v>2448.65</v>
      </c>
    </row>
    <row r="1017" spans="1:5" x14ac:dyDescent="0.25">
      <c r="A1017">
        <v>2026</v>
      </c>
      <c r="B1017" s="4">
        <v>46113</v>
      </c>
      <c r="C1017" t="s">
        <v>110</v>
      </c>
      <c r="D1017" t="s">
        <v>33</v>
      </c>
      <c r="E1017" s="2">
        <v>2576.2800000000002</v>
      </c>
    </row>
    <row r="1018" spans="1:5" x14ac:dyDescent="0.25">
      <c r="A1018">
        <v>2026</v>
      </c>
      <c r="B1018" s="4">
        <v>46143</v>
      </c>
      <c r="C1018" t="s">
        <v>110</v>
      </c>
      <c r="D1018" t="s">
        <v>33</v>
      </c>
      <c r="E1018" s="2">
        <v>2904.36</v>
      </c>
    </row>
    <row r="1019" spans="1:5" x14ac:dyDescent="0.25">
      <c r="A1019">
        <v>2026</v>
      </c>
      <c r="B1019" s="4">
        <v>46023</v>
      </c>
      <c r="C1019" t="s">
        <v>110</v>
      </c>
      <c r="D1019" t="s">
        <v>41</v>
      </c>
      <c r="E1019" s="2">
        <v>1281</v>
      </c>
    </row>
    <row r="1020" spans="1:5" x14ac:dyDescent="0.25">
      <c r="A1020">
        <v>2026</v>
      </c>
      <c r="B1020" s="4">
        <v>46054</v>
      </c>
      <c r="C1020" t="s">
        <v>110</v>
      </c>
      <c r="D1020" t="s">
        <v>41</v>
      </c>
      <c r="E1020" s="2">
        <v>1393.6</v>
      </c>
    </row>
    <row r="1021" spans="1:5" x14ac:dyDescent="0.25">
      <c r="A1021">
        <v>2026</v>
      </c>
      <c r="B1021" s="4">
        <v>46082</v>
      </c>
      <c r="C1021" t="s">
        <v>110</v>
      </c>
      <c r="D1021" t="s">
        <v>41</v>
      </c>
      <c r="E1021" s="2">
        <v>1505.1</v>
      </c>
    </row>
    <row r="1022" spans="1:5" x14ac:dyDescent="0.25">
      <c r="A1022">
        <v>2026</v>
      </c>
      <c r="B1022" s="4">
        <v>46113</v>
      </c>
      <c r="C1022" t="s">
        <v>110</v>
      </c>
      <c r="D1022" t="s">
        <v>41</v>
      </c>
      <c r="E1022" s="2">
        <v>2471.6999999999998</v>
      </c>
    </row>
    <row r="1023" spans="1:5" x14ac:dyDescent="0.25">
      <c r="A1023">
        <v>2026</v>
      </c>
      <c r="B1023" s="4">
        <v>46143</v>
      </c>
      <c r="C1023" t="s">
        <v>110</v>
      </c>
      <c r="D1023" t="s">
        <v>41</v>
      </c>
      <c r="E1023" s="2">
        <v>2646</v>
      </c>
    </row>
    <row r="1024" spans="1:5" x14ac:dyDescent="0.25">
      <c r="A1024">
        <v>2026</v>
      </c>
      <c r="B1024" s="4">
        <v>46023</v>
      </c>
      <c r="C1024" t="s">
        <v>110</v>
      </c>
      <c r="D1024" t="s">
        <v>49</v>
      </c>
      <c r="E1024" s="2">
        <v>1351</v>
      </c>
    </row>
    <row r="1025" spans="1:5" x14ac:dyDescent="0.25">
      <c r="A1025">
        <v>2026</v>
      </c>
      <c r="B1025" s="4">
        <v>46054</v>
      </c>
      <c r="C1025" t="s">
        <v>110</v>
      </c>
      <c r="D1025" t="s">
        <v>49</v>
      </c>
      <c r="E1025" s="2">
        <v>1442</v>
      </c>
    </row>
    <row r="1026" spans="1:5" x14ac:dyDescent="0.25">
      <c r="A1026">
        <v>2026</v>
      </c>
      <c r="B1026" s="4">
        <v>46082</v>
      </c>
      <c r="C1026" t="s">
        <v>110</v>
      </c>
      <c r="D1026" t="s">
        <v>49</v>
      </c>
      <c r="E1026" s="2">
        <v>1443</v>
      </c>
    </row>
    <row r="1027" spans="1:5" x14ac:dyDescent="0.25">
      <c r="A1027">
        <v>2026</v>
      </c>
      <c r="B1027" s="4">
        <v>46113</v>
      </c>
      <c r="C1027" t="s">
        <v>110</v>
      </c>
      <c r="D1027" t="s">
        <v>49</v>
      </c>
      <c r="E1027" s="2">
        <v>1443</v>
      </c>
    </row>
    <row r="1028" spans="1:5" x14ac:dyDescent="0.25">
      <c r="A1028">
        <v>2026</v>
      </c>
      <c r="B1028" s="4">
        <v>46143</v>
      </c>
      <c r="C1028" t="s">
        <v>110</v>
      </c>
      <c r="D1028" t="s">
        <v>49</v>
      </c>
      <c r="E1028" s="2">
        <v>1442</v>
      </c>
    </row>
    <row r="1029" spans="1:5" x14ac:dyDescent="0.25">
      <c r="A1029">
        <v>2026</v>
      </c>
      <c r="B1029" s="4">
        <v>46023</v>
      </c>
      <c r="C1029" t="s">
        <v>110</v>
      </c>
      <c r="D1029" t="s">
        <v>28</v>
      </c>
      <c r="E1029" s="2">
        <v>1518</v>
      </c>
    </row>
    <row r="1030" spans="1:5" x14ac:dyDescent="0.25">
      <c r="A1030">
        <v>2026</v>
      </c>
      <c r="B1030" s="4">
        <v>46054</v>
      </c>
      <c r="C1030" t="s">
        <v>110</v>
      </c>
      <c r="D1030" t="s">
        <v>28</v>
      </c>
      <c r="E1030" s="2">
        <v>1350</v>
      </c>
    </row>
    <row r="1031" spans="1:5" x14ac:dyDescent="0.25">
      <c r="A1031">
        <v>2026</v>
      </c>
      <c r="B1031" s="4">
        <v>46082</v>
      </c>
      <c r="C1031" t="s">
        <v>110</v>
      </c>
      <c r="D1031" t="s">
        <v>28</v>
      </c>
      <c r="E1031" s="2">
        <v>1621</v>
      </c>
    </row>
    <row r="1032" spans="1:5" x14ac:dyDescent="0.25">
      <c r="A1032">
        <v>2026</v>
      </c>
      <c r="B1032" s="4">
        <v>46113</v>
      </c>
      <c r="C1032" t="s">
        <v>110</v>
      </c>
      <c r="D1032" t="s">
        <v>28</v>
      </c>
      <c r="E1032" s="2">
        <v>0</v>
      </c>
    </row>
    <row r="1033" spans="1:5" x14ac:dyDescent="0.25">
      <c r="A1033">
        <v>2026</v>
      </c>
      <c r="B1033" s="4">
        <v>46143</v>
      </c>
      <c r="C1033" t="s">
        <v>110</v>
      </c>
      <c r="D1033" t="s">
        <v>28</v>
      </c>
      <c r="E1033" s="2">
        <v>432</v>
      </c>
    </row>
    <row r="1034" spans="1:5" x14ac:dyDescent="0.25">
      <c r="A1034">
        <v>2026</v>
      </c>
      <c r="B1034" s="4">
        <v>46023</v>
      </c>
      <c r="C1034" t="s">
        <v>110</v>
      </c>
      <c r="D1034" t="s">
        <v>57</v>
      </c>
      <c r="E1034" s="2">
        <v>829.23</v>
      </c>
    </row>
    <row r="1035" spans="1:5" x14ac:dyDescent="0.25">
      <c r="A1035">
        <v>2026</v>
      </c>
      <c r="B1035" s="4">
        <v>46054</v>
      </c>
      <c r="C1035" t="s">
        <v>110</v>
      </c>
      <c r="D1035" t="s">
        <v>57</v>
      </c>
      <c r="E1035" s="2">
        <v>1168.8499999999999</v>
      </c>
    </row>
    <row r="1036" spans="1:5" x14ac:dyDescent="0.25">
      <c r="A1036">
        <v>2026</v>
      </c>
      <c r="B1036" s="4">
        <v>46082</v>
      </c>
      <c r="C1036" t="s">
        <v>110</v>
      </c>
      <c r="D1036" t="s">
        <v>57</v>
      </c>
      <c r="E1036" s="2">
        <v>1619.49</v>
      </c>
    </row>
    <row r="1037" spans="1:5" x14ac:dyDescent="0.25">
      <c r="A1037">
        <v>2026</v>
      </c>
      <c r="B1037" s="4">
        <v>46113</v>
      </c>
      <c r="C1037" t="s">
        <v>110</v>
      </c>
      <c r="D1037" t="s">
        <v>57</v>
      </c>
      <c r="E1037" s="2">
        <v>547.9</v>
      </c>
    </row>
    <row r="1038" spans="1:5" x14ac:dyDescent="0.25">
      <c r="A1038">
        <v>2026</v>
      </c>
      <c r="B1038" s="4">
        <v>46143</v>
      </c>
      <c r="C1038" t="s">
        <v>110</v>
      </c>
      <c r="D1038" t="s">
        <v>57</v>
      </c>
      <c r="E1038" s="2">
        <v>269.64999999999998</v>
      </c>
    </row>
    <row r="1039" spans="1:5" x14ac:dyDescent="0.25">
      <c r="A1039">
        <v>2026</v>
      </c>
      <c r="B1039" s="4">
        <v>46023</v>
      </c>
      <c r="C1039" t="s">
        <v>110</v>
      </c>
      <c r="D1039" t="s">
        <v>25</v>
      </c>
      <c r="E1039" s="2">
        <v>258.62</v>
      </c>
    </row>
    <row r="1040" spans="1:5" x14ac:dyDescent="0.25">
      <c r="A1040">
        <v>2026</v>
      </c>
      <c r="B1040" s="4">
        <v>46054</v>
      </c>
      <c r="C1040" t="s">
        <v>110</v>
      </c>
      <c r="D1040" t="s">
        <v>25</v>
      </c>
      <c r="E1040" s="2">
        <v>258.62</v>
      </c>
    </row>
    <row r="1041" spans="1:5" x14ac:dyDescent="0.25">
      <c r="A1041">
        <v>2026</v>
      </c>
      <c r="B1041" s="4">
        <v>46082</v>
      </c>
      <c r="C1041" t="s">
        <v>110</v>
      </c>
      <c r="D1041" t="s">
        <v>25</v>
      </c>
      <c r="E1041" s="2">
        <v>258.62</v>
      </c>
    </row>
    <row r="1042" spans="1:5" x14ac:dyDescent="0.25">
      <c r="A1042">
        <v>2026</v>
      </c>
      <c r="B1042" s="4">
        <v>46113</v>
      </c>
      <c r="C1042" t="s">
        <v>110</v>
      </c>
      <c r="D1042" t="s">
        <v>25</v>
      </c>
      <c r="E1042" s="2">
        <v>1458.62</v>
      </c>
    </row>
    <row r="1043" spans="1:5" x14ac:dyDescent="0.25">
      <c r="A1043">
        <v>2026</v>
      </c>
      <c r="B1043" s="4">
        <v>46143</v>
      </c>
      <c r="C1043" t="s">
        <v>110</v>
      </c>
      <c r="D1043" t="s">
        <v>25</v>
      </c>
      <c r="E1043" s="2">
        <v>281.86</v>
      </c>
    </row>
    <row r="1044" spans="1:5" x14ac:dyDescent="0.25">
      <c r="A1044">
        <v>2026</v>
      </c>
      <c r="B1044" s="4">
        <v>46023</v>
      </c>
      <c r="C1044" t="s">
        <v>110</v>
      </c>
      <c r="D1044" t="s">
        <v>32</v>
      </c>
      <c r="E1044" s="2">
        <v>0</v>
      </c>
    </row>
    <row r="1045" spans="1:5" x14ac:dyDescent="0.25">
      <c r="A1045">
        <v>2026</v>
      </c>
      <c r="B1045" s="4">
        <v>46054</v>
      </c>
      <c r="C1045" t="s">
        <v>110</v>
      </c>
      <c r="D1045" t="s">
        <v>32</v>
      </c>
      <c r="E1045" s="2">
        <v>0</v>
      </c>
    </row>
    <row r="1046" spans="1:5" x14ac:dyDescent="0.25">
      <c r="A1046">
        <v>2026</v>
      </c>
      <c r="B1046" s="4">
        <v>46082</v>
      </c>
      <c r="C1046" t="s">
        <v>110</v>
      </c>
      <c r="D1046" t="s">
        <v>32</v>
      </c>
      <c r="E1046" s="2">
        <v>628.03</v>
      </c>
    </row>
    <row r="1047" spans="1:5" x14ac:dyDescent="0.25">
      <c r="A1047">
        <v>2026</v>
      </c>
      <c r="B1047" s="4">
        <v>46113</v>
      </c>
      <c r="C1047" t="s">
        <v>110</v>
      </c>
      <c r="D1047" t="s">
        <v>32</v>
      </c>
      <c r="E1047" s="2">
        <v>0</v>
      </c>
    </row>
    <row r="1048" spans="1:5" x14ac:dyDescent="0.25">
      <c r="A1048">
        <v>2026</v>
      </c>
      <c r="B1048" s="4">
        <v>46143</v>
      </c>
      <c r="C1048" t="s">
        <v>110</v>
      </c>
      <c r="D1048" t="s">
        <v>32</v>
      </c>
      <c r="E1048" s="2">
        <v>0</v>
      </c>
    </row>
    <row r="1049" spans="1:5" x14ac:dyDescent="0.25">
      <c r="A1049">
        <v>2026</v>
      </c>
      <c r="B1049" s="4">
        <v>46023</v>
      </c>
      <c r="C1049" t="s">
        <v>110</v>
      </c>
      <c r="D1049" t="s">
        <v>48</v>
      </c>
      <c r="E1049" s="2">
        <v>0</v>
      </c>
    </row>
    <row r="1050" spans="1:5" x14ac:dyDescent="0.25">
      <c r="A1050">
        <v>2026</v>
      </c>
      <c r="B1050" s="4">
        <v>46054</v>
      </c>
      <c r="C1050" t="s">
        <v>110</v>
      </c>
      <c r="D1050" t="s">
        <v>48</v>
      </c>
      <c r="E1050" s="2">
        <v>568.35</v>
      </c>
    </row>
    <row r="1051" spans="1:5" x14ac:dyDescent="0.25">
      <c r="A1051">
        <v>2026</v>
      </c>
      <c r="B1051" s="4">
        <v>46082</v>
      </c>
      <c r="C1051" t="s">
        <v>110</v>
      </c>
      <c r="D1051" t="s">
        <v>48</v>
      </c>
      <c r="E1051" s="2">
        <v>0</v>
      </c>
    </row>
    <row r="1052" spans="1:5" x14ac:dyDescent="0.25">
      <c r="A1052">
        <v>2026</v>
      </c>
      <c r="B1052" s="4">
        <v>46113</v>
      </c>
      <c r="C1052" t="s">
        <v>110</v>
      </c>
      <c r="D1052" t="s">
        <v>48</v>
      </c>
      <c r="E1052" s="2">
        <v>0</v>
      </c>
    </row>
    <row r="1053" spans="1:5" x14ac:dyDescent="0.25">
      <c r="A1053">
        <v>2026</v>
      </c>
      <c r="B1053" s="4">
        <v>46143</v>
      </c>
      <c r="C1053" t="s">
        <v>110</v>
      </c>
      <c r="D1053" t="s">
        <v>48</v>
      </c>
      <c r="E1053" s="2">
        <v>34.97</v>
      </c>
    </row>
    <row r="1054" spans="1:5" x14ac:dyDescent="0.25">
      <c r="A1054">
        <v>2026</v>
      </c>
      <c r="B1054" s="4">
        <v>46023</v>
      </c>
      <c r="C1054" t="s">
        <v>110</v>
      </c>
      <c r="D1054" t="s">
        <v>64</v>
      </c>
      <c r="E1054" s="2">
        <v>0</v>
      </c>
    </row>
    <row r="1055" spans="1:5" x14ac:dyDescent="0.25">
      <c r="A1055">
        <v>2026</v>
      </c>
      <c r="B1055" s="4">
        <v>46054</v>
      </c>
      <c r="C1055" t="s">
        <v>110</v>
      </c>
      <c r="D1055" t="s">
        <v>64</v>
      </c>
      <c r="E1055" s="2">
        <v>0</v>
      </c>
    </row>
    <row r="1056" spans="1:5" x14ac:dyDescent="0.25">
      <c r="A1056">
        <v>2026</v>
      </c>
      <c r="B1056" s="4">
        <v>46082</v>
      </c>
      <c r="C1056" t="s">
        <v>110</v>
      </c>
      <c r="D1056" t="s">
        <v>64</v>
      </c>
      <c r="E1056" s="2">
        <v>0</v>
      </c>
    </row>
    <row r="1057" spans="1:5" x14ac:dyDescent="0.25">
      <c r="A1057">
        <v>2026</v>
      </c>
      <c r="B1057" s="4">
        <v>46113</v>
      </c>
      <c r="C1057" t="s">
        <v>110</v>
      </c>
      <c r="D1057" t="s">
        <v>64</v>
      </c>
      <c r="E1057" s="2">
        <v>500</v>
      </c>
    </row>
    <row r="1058" spans="1:5" x14ac:dyDescent="0.25">
      <c r="A1058">
        <v>2026</v>
      </c>
      <c r="B1058" s="4">
        <v>46143</v>
      </c>
      <c r="C1058" t="s">
        <v>110</v>
      </c>
      <c r="D1058" t="s">
        <v>64</v>
      </c>
      <c r="E1058" s="2">
        <v>0</v>
      </c>
    </row>
    <row r="1059" spans="1:5" x14ac:dyDescent="0.25">
      <c r="A1059">
        <v>2026</v>
      </c>
      <c r="B1059" s="4">
        <v>46023</v>
      </c>
      <c r="C1059" t="s">
        <v>110</v>
      </c>
      <c r="D1059" t="s">
        <v>56</v>
      </c>
      <c r="E1059" s="2">
        <v>16.97</v>
      </c>
    </row>
    <row r="1060" spans="1:5" x14ac:dyDescent="0.25">
      <c r="A1060">
        <v>2026</v>
      </c>
      <c r="B1060" s="4">
        <v>46054</v>
      </c>
      <c r="C1060" t="s">
        <v>110</v>
      </c>
      <c r="D1060" t="s">
        <v>56</v>
      </c>
      <c r="E1060" s="2">
        <v>0</v>
      </c>
    </row>
    <row r="1061" spans="1:5" x14ac:dyDescent="0.25">
      <c r="A1061">
        <v>2026</v>
      </c>
      <c r="B1061" s="4">
        <v>46082</v>
      </c>
      <c r="C1061" t="s">
        <v>110</v>
      </c>
      <c r="D1061" t="s">
        <v>56</v>
      </c>
      <c r="E1061" s="2">
        <v>369.71</v>
      </c>
    </row>
    <row r="1062" spans="1:5" x14ac:dyDescent="0.25">
      <c r="A1062">
        <v>2026</v>
      </c>
      <c r="B1062" s="4">
        <v>46113</v>
      </c>
      <c r="C1062" t="s">
        <v>110</v>
      </c>
      <c r="D1062" t="s">
        <v>56</v>
      </c>
      <c r="E1062" s="2">
        <v>0</v>
      </c>
    </row>
    <row r="1063" spans="1:5" x14ac:dyDescent="0.25">
      <c r="A1063">
        <v>2026</v>
      </c>
      <c r="B1063" s="4">
        <v>46143</v>
      </c>
      <c r="C1063" t="s">
        <v>110</v>
      </c>
      <c r="D1063" t="s">
        <v>56</v>
      </c>
      <c r="E1063" s="2">
        <v>0</v>
      </c>
    </row>
    <row r="1064" spans="1:5" x14ac:dyDescent="0.25">
      <c r="A1064">
        <v>2026</v>
      </c>
      <c r="B1064" s="4">
        <v>46023</v>
      </c>
      <c r="C1064" t="s">
        <v>110</v>
      </c>
      <c r="D1064" t="s">
        <v>55</v>
      </c>
      <c r="E1064" s="2">
        <v>63.9</v>
      </c>
    </row>
    <row r="1065" spans="1:5" x14ac:dyDescent="0.25">
      <c r="A1065">
        <v>2026</v>
      </c>
      <c r="B1065" s="4">
        <v>46054</v>
      </c>
      <c r="C1065" t="s">
        <v>110</v>
      </c>
      <c r="D1065" t="s">
        <v>55</v>
      </c>
      <c r="E1065" s="2">
        <v>63.9</v>
      </c>
    </row>
    <row r="1066" spans="1:5" x14ac:dyDescent="0.25">
      <c r="A1066">
        <v>2026</v>
      </c>
      <c r="B1066" s="4">
        <v>46082</v>
      </c>
      <c r="C1066" t="s">
        <v>110</v>
      </c>
      <c r="D1066" t="s">
        <v>55</v>
      </c>
      <c r="E1066" s="2">
        <v>63.9</v>
      </c>
    </row>
    <row r="1067" spans="1:5" x14ac:dyDescent="0.25">
      <c r="A1067">
        <v>2026</v>
      </c>
      <c r="B1067" s="4">
        <v>46113</v>
      </c>
      <c r="C1067" t="s">
        <v>110</v>
      </c>
      <c r="D1067" t="s">
        <v>55</v>
      </c>
      <c r="E1067" s="2">
        <v>63.9</v>
      </c>
    </row>
    <row r="1068" spans="1:5" x14ac:dyDescent="0.25">
      <c r="A1068">
        <v>2026</v>
      </c>
      <c r="B1068" s="4">
        <v>46143</v>
      </c>
      <c r="C1068" t="s">
        <v>110</v>
      </c>
      <c r="D1068" t="s">
        <v>55</v>
      </c>
      <c r="E1068" s="2">
        <v>63.9</v>
      </c>
    </row>
    <row r="1069" spans="1:5" x14ac:dyDescent="0.25">
      <c r="A1069">
        <v>2026</v>
      </c>
      <c r="B1069" s="4">
        <v>46023</v>
      </c>
      <c r="C1069" t="s">
        <v>110</v>
      </c>
      <c r="D1069" t="s">
        <v>31</v>
      </c>
      <c r="E1069" s="2">
        <v>271</v>
      </c>
    </row>
    <row r="1070" spans="1:5" x14ac:dyDescent="0.25">
      <c r="A1070">
        <v>2026</v>
      </c>
      <c r="B1070" s="4">
        <v>46054</v>
      </c>
      <c r="C1070" t="s">
        <v>110</v>
      </c>
      <c r="D1070" t="s">
        <v>31</v>
      </c>
      <c r="E1070" s="2">
        <v>0</v>
      </c>
    </row>
    <row r="1071" spans="1:5" x14ac:dyDescent="0.25">
      <c r="A1071">
        <v>2026</v>
      </c>
      <c r="B1071" s="4">
        <v>46082</v>
      </c>
      <c r="C1071" t="s">
        <v>110</v>
      </c>
      <c r="D1071" t="s">
        <v>31</v>
      </c>
      <c r="E1071" s="2">
        <v>0</v>
      </c>
    </row>
    <row r="1072" spans="1:5" x14ac:dyDescent="0.25">
      <c r="A1072">
        <v>2026</v>
      </c>
      <c r="B1072" s="4">
        <v>46113</v>
      </c>
      <c r="C1072" t="s">
        <v>110</v>
      </c>
      <c r="D1072" t="s">
        <v>31</v>
      </c>
      <c r="E1072" s="2">
        <v>0</v>
      </c>
    </row>
    <row r="1073" spans="1:5" x14ac:dyDescent="0.25">
      <c r="A1073">
        <v>2026</v>
      </c>
      <c r="B1073" s="4">
        <v>46143</v>
      </c>
      <c r="C1073" t="s">
        <v>110</v>
      </c>
      <c r="D1073" t="s">
        <v>31</v>
      </c>
      <c r="E1073" s="2">
        <v>0</v>
      </c>
    </row>
    <row r="1074" spans="1:5" x14ac:dyDescent="0.25">
      <c r="A1074">
        <v>2026</v>
      </c>
      <c r="B1074" s="4">
        <v>46023</v>
      </c>
      <c r="C1074" t="s">
        <v>110</v>
      </c>
      <c r="D1074" t="s">
        <v>34</v>
      </c>
      <c r="E1074" s="2">
        <v>0</v>
      </c>
    </row>
    <row r="1075" spans="1:5" x14ac:dyDescent="0.25">
      <c r="A1075">
        <v>2026</v>
      </c>
      <c r="B1075" s="4">
        <v>46054</v>
      </c>
      <c r="C1075" t="s">
        <v>110</v>
      </c>
      <c r="D1075" t="s">
        <v>34</v>
      </c>
      <c r="E1075" s="2">
        <v>0</v>
      </c>
    </row>
    <row r="1076" spans="1:5" x14ac:dyDescent="0.25">
      <c r="A1076">
        <v>2026</v>
      </c>
      <c r="B1076" s="4">
        <v>46082</v>
      </c>
      <c r="C1076" t="s">
        <v>110</v>
      </c>
      <c r="D1076" t="s">
        <v>34</v>
      </c>
      <c r="E1076" s="2">
        <v>0</v>
      </c>
    </row>
    <row r="1077" spans="1:5" x14ac:dyDescent="0.25">
      <c r="A1077">
        <v>2026</v>
      </c>
      <c r="B1077" s="4">
        <v>46113</v>
      </c>
      <c r="C1077" t="s">
        <v>110</v>
      </c>
      <c r="D1077" t="s">
        <v>34</v>
      </c>
      <c r="E1077" s="2">
        <v>96</v>
      </c>
    </row>
    <row r="1078" spans="1:5" x14ac:dyDescent="0.25">
      <c r="A1078">
        <v>2026</v>
      </c>
      <c r="B1078" s="4">
        <v>46143</v>
      </c>
      <c r="C1078" t="s">
        <v>110</v>
      </c>
      <c r="D1078" t="s">
        <v>34</v>
      </c>
      <c r="E1078" s="2">
        <v>96</v>
      </c>
    </row>
    <row r="1079" spans="1:5" x14ac:dyDescent="0.25">
      <c r="A1079">
        <v>2026</v>
      </c>
      <c r="B1079" s="4">
        <v>46023</v>
      </c>
      <c r="C1079" t="s">
        <v>110</v>
      </c>
      <c r="D1079" t="s">
        <v>45</v>
      </c>
      <c r="E1079" s="2">
        <v>0</v>
      </c>
    </row>
    <row r="1080" spans="1:5" x14ac:dyDescent="0.25">
      <c r="A1080">
        <v>2026</v>
      </c>
      <c r="B1080" s="4">
        <v>46054</v>
      </c>
      <c r="C1080" t="s">
        <v>110</v>
      </c>
      <c r="D1080" t="s">
        <v>45</v>
      </c>
      <c r="E1080" s="2">
        <v>0</v>
      </c>
    </row>
    <row r="1081" spans="1:5" x14ac:dyDescent="0.25">
      <c r="A1081">
        <v>2026</v>
      </c>
      <c r="B1081" s="4">
        <v>46082</v>
      </c>
      <c r="C1081" t="s">
        <v>110</v>
      </c>
      <c r="D1081" t="s">
        <v>45</v>
      </c>
      <c r="E1081" s="2">
        <v>0</v>
      </c>
    </row>
    <row r="1082" spans="1:5" x14ac:dyDescent="0.25">
      <c r="A1082">
        <v>2026</v>
      </c>
      <c r="B1082" s="4">
        <v>46113</v>
      </c>
      <c r="C1082" t="s">
        <v>110</v>
      </c>
      <c r="D1082" t="s">
        <v>45</v>
      </c>
      <c r="E1082" s="2">
        <v>0</v>
      </c>
    </row>
    <row r="1083" spans="1:5" x14ac:dyDescent="0.25">
      <c r="A1083">
        <v>2026</v>
      </c>
      <c r="B1083" s="4">
        <v>46143</v>
      </c>
      <c r="C1083" t="s">
        <v>110</v>
      </c>
      <c r="D1083" t="s">
        <v>45</v>
      </c>
      <c r="E1083" s="2">
        <v>168.48</v>
      </c>
    </row>
    <row r="1084" spans="1:5" x14ac:dyDescent="0.25">
      <c r="A1084">
        <v>2026</v>
      </c>
      <c r="B1084" s="4">
        <v>46023</v>
      </c>
      <c r="C1084" t="s">
        <v>110</v>
      </c>
      <c r="D1084" t="s">
        <v>38</v>
      </c>
      <c r="E1084" s="2">
        <v>27.18</v>
      </c>
    </row>
    <row r="1085" spans="1:5" x14ac:dyDescent="0.25">
      <c r="A1085">
        <v>2026</v>
      </c>
      <c r="B1085" s="4">
        <v>46054</v>
      </c>
      <c r="C1085" t="s">
        <v>110</v>
      </c>
      <c r="D1085" t="s">
        <v>38</v>
      </c>
      <c r="E1085" s="2">
        <v>22.83</v>
      </c>
    </row>
    <row r="1086" spans="1:5" x14ac:dyDescent="0.25">
      <c r="A1086">
        <v>2026</v>
      </c>
      <c r="B1086" s="4">
        <v>46082</v>
      </c>
      <c r="C1086" t="s">
        <v>110</v>
      </c>
      <c r="D1086" t="s">
        <v>38</v>
      </c>
      <c r="E1086" s="2">
        <v>27.18</v>
      </c>
    </row>
    <row r="1087" spans="1:5" x14ac:dyDescent="0.25">
      <c r="A1087">
        <v>2026</v>
      </c>
      <c r="B1087" s="4">
        <v>46113</v>
      </c>
      <c r="C1087" t="s">
        <v>110</v>
      </c>
      <c r="D1087" t="s">
        <v>38</v>
      </c>
      <c r="E1087" s="2">
        <v>36.24</v>
      </c>
    </row>
    <row r="1088" spans="1:5" x14ac:dyDescent="0.25">
      <c r="A1088">
        <v>2026</v>
      </c>
      <c r="B1088" s="4">
        <v>46143</v>
      </c>
      <c r="C1088" t="s">
        <v>110</v>
      </c>
      <c r="D1088" t="s">
        <v>38</v>
      </c>
      <c r="E1088" s="2">
        <v>54.36</v>
      </c>
    </row>
    <row r="1089" spans="1:5" x14ac:dyDescent="0.25">
      <c r="A1089">
        <v>2026</v>
      </c>
      <c r="B1089" s="4">
        <v>46023</v>
      </c>
      <c r="C1089" t="s">
        <v>110</v>
      </c>
      <c r="D1089" t="s">
        <v>29</v>
      </c>
      <c r="E1089" s="2">
        <v>49.6</v>
      </c>
    </row>
    <row r="1090" spans="1:5" x14ac:dyDescent="0.25">
      <c r="A1090">
        <v>2026</v>
      </c>
      <c r="B1090" s="4">
        <v>46054</v>
      </c>
      <c r="C1090" t="s">
        <v>110</v>
      </c>
      <c r="D1090" t="s">
        <v>29</v>
      </c>
      <c r="E1090" s="2">
        <v>0</v>
      </c>
    </row>
    <row r="1091" spans="1:5" x14ac:dyDescent="0.25">
      <c r="A1091">
        <v>2026</v>
      </c>
      <c r="B1091" s="4">
        <v>46082</v>
      </c>
      <c r="C1091" t="s">
        <v>110</v>
      </c>
      <c r="D1091" t="s">
        <v>29</v>
      </c>
      <c r="E1091" s="2">
        <v>0</v>
      </c>
    </row>
    <row r="1092" spans="1:5" x14ac:dyDescent="0.25">
      <c r="A1092">
        <v>2026</v>
      </c>
      <c r="B1092" s="4">
        <v>46113</v>
      </c>
      <c r="C1092" t="s">
        <v>110</v>
      </c>
      <c r="D1092" t="s">
        <v>29</v>
      </c>
      <c r="E1092" s="2">
        <v>0</v>
      </c>
    </row>
    <row r="1093" spans="1:5" x14ac:dyDescent="0.25">
      <c r="A1093">
        <v>2026</v>
      </c>
      <c r="B1093" s="4">
        <v>46143</v>
      </c>
      <c r="C1093" t="s">
        <v>110</v>
      </c>
      <c r="D1093" t="s">
        <v>29</v>
      </c>
      <c r="E1093" s="2">
        <v>75.040000000000006</v>
      </c>
    </row>
    <row r="1094" spans="1:5" x14ac:dyDescent="0.25">
      <c r="A1094">
        <v>2026</v>
      </c>
      <c r="B1094" s="4">
        <v>46023</v>
      </c>
      <c r="C1094" t="s">
        <v>110</v>
      </c>
      <c r="D1094" t="s">
        <v>52</v>
      </c>
      <c r="E1094" s="2">
        <v>0</v>
      </c>
    </row>
    <row r="1095" spans="1:5" x14ac:dyDescent="0.25">
      <c r="A1095">
        <v>2026</v>
      </c>
      <c r="B1095" s="4">
        <v>46054</v>
      </c>
      <c r="C1095" t="s">
        <v>110</v>
      </c>
      <c r="D1095" t="s">
        <v>52</v>
      </c>
      <c r="E1095" s="2">
        <v>100</v>
      </c>
    </row>
    <row r="1096" spans="1:5" x14ac:dyDescent="0.25">
      <c r="A1096">
        <v>2026</v>
      </c>
      <c r="B1096" s="4">
        <v>46082</v>
      </c>
      <c r="C1096" t="s">
        <v>110</v>
      </c>
      <c r="D1096" t="s">
        <v>52</v>
      </c>
      <c r="E1096" s="2">
        <v>0</v>
      </c>
    </row>
    <row r="1097" spans="1:5" x14ac:dyDescent="0.25">
      <c r="A1097">
        <v>2026</v>
      </c>
      <c r="B1097" s="4">
        <v>46113</v>
      </c>
      <c r="C1097" t="s">
        <v>110</v>
      </c>
      <c r="D1097" t="s">
        <v>52</v>
      </c>
      <c r="E1097" s="2">
        <v>0</v>
      </c>
    </row>
    <row r="1098" spans="1:5" x14ac:dyDescent="0.25">
      <c r="A1098">
        <v>2026</v>
      </c>
      <c r="B1098" s="4">
        <v>46143</v>
      </c>
      <c r="C1098" t="s">
        <v>110</v>
      </c>
      <c r="D1098" t="s">
        <v>52</v>
      </c>
      <c r="E1098" s="2">
        <v>0</v>
      </c>
    </row>
    <row r="1099" spans="1:5" x14ac:dyDescent="0.25">
      <c r="A1099">
        <v>2026</v>
      </c>
      <c r="B1099" s="4">
        <v>46023</v>
      </c>
      <c r="C1099" t="s">
        <v>110</v>
      </c>
      <c r="D1099" t="s">
        <v>39</v>
      </c>
      <c r="E1099" s="2">
        <v>33.79</v>
      </c>
    </row>
    <row r="1100" spans="1:5" x14ac:dyDescent="0.25">
      <c r="A1100">
        <v>2026</v>
      </c>
      <c r="B1100" s="4">
        <v>46054</v>
      </c>
      <c r="C1100" t="s">
        <v>110</v>
      </c>
      <c r="D1100" t="s">
        <v>39</v>
      </c>
      <c r="E1100" s="2">
        <v>16.5</v>
      </c>
    </row>
    <row r="1101" spans="1:5" x14ac:dyDescent="0.25">
      <c r="A1101">
        <v>2026</v>
      </c>
      <c r="B1101" s="4">
        <v>46082</v>
      </c>
      <c r="C1101" t="s">
        <v>110</v>
      </c>
      <c r="D1101" t="s">
        <v>39</v>
      </c>
      <c r="E1101" s="2">
        <v>16.5</v>
      </c>
    </row>
    <row r="1102" spans="1:5" x14ac:dyDescent="0.25">
      <c r="A1102">
        <v>2026</v>
      </c>
      <c r="B1102" s="4">
        <v>46113</v>
      </c>
      <c r="C1102" t="s">
        <v>110</v>
      </c>
      <c r="D1102" t="s">
        <v>39</v>
      </c>
      <c r="E1102" s="2">
        <v>16.5</v>
      </c>
    </row>
    <row r="1103" spans="1:5" x14ac:dyDescent="0.25">
      <c r="A1103">
        <v>2026</v>
      </c>
      <c r="B1103" s="4">
        <v>46143</v>
      </c>
      <c r="C1103" t="s">
        <v>110</v>
      </c>
      <c r="D1103" t="s">
        <v>39</v>
      </c>
      <c r="E1103" s="2">
        <v>0</v>
      </c>
    </row>
    <row r="1104" spans="1:5" x14ac:dyDescent="0.25">
      <c r="A1104">
        <v>2026</v>
      </c>
      <c r="B1104" s="4">
        <v>46023</v>
      </c>
      <c r="C1104" t="s">
        <v>110</v>
      </c>
      <c r="D1104" t="s">
        <v>50</v>
      </c>
      <c r="E1104" s="2">
        <v>0</v>
      </c>
    </row>
    <row r="1105" spans="1:5" x14ac:dyDescent="0.25">
      <c r="A1105">
        <v>2026</v>
      </c>
      <c r="B1105" s="4">
        <v>46054</v>
      </c>
      <c r="C1105" t="s">
        <v>110</v>
      </c>
      <c r="D1105" t="s">
        <v>50</v>
      </c>
      <c r="E1105" s="2">
        <v>0</v>
      </c>
    </row>
    <row r="1106" spans="1:5" x14ac:dyDescent="0.25">
      <c r="A1106">
        <v>2026</v>
      </c>
      <c r="B1106" s="4">
        <v>46082</v>
      </c>
      <c r="C1106" t="s">
        <v>110</v>
      </c>
      <c r="D1106" t="s">
        <v>50</v>
      </c>
      <c r="E1106" s="2">
        <v>0</v>
      </c>
    </row>
    <row r="1107" spans="1:5" x14ac:dyDescent="0.25">
      <c r="A1107">
        <v>2026</v>
      </c>
      <c r="B1107" s="4">
        <v>46113</v>
      </c>
      <c r="C1107" t="s">
        <v>110</v>
      </c>
      <c r="D1107" t="s">
        <v>50</v>
      </c>
      <c r="E1107" s="2">
        <v>0</v>
      </c>
    </row>
    <row r="1108" spans="1:5" x14ac:dyDescent="0.25">
      <c r="A1108">
        <v>2026</v>
      </c>
      <c r="B1108" s="4">
        <v>46143</v>
      </c>
      <c r="C1108" t="s">
        <v>110</v>
      </c>
      <c r="D1108" t="s">
        <v>50</v>
      </c>
      <c r="E1108" s="2">
        <v>39.880000000000003</v>
      </c>
    </row>
    <row r="1109" spans="1:5" x14ac:dyDescent="0.25">
      <c r="A1109">
        <v>2026</v>
      </c>
      <c r="B1109" s="4">
        <v>46023</v>
      </c>
      <c r="C1109" t="s">
        <v>110</v>
      </c>
      <c r="D1109" t="s">
        <v>44</v>
      </c>
      <c r="E1109" s="2">
        <v>0</v>
      </c>
    </row>
    <row r="1110" spans="1:5" x14ac:dyDescent="0.25">
      <c r="A1110">
        <v>2026</v>
      </c>
      <c r="B1110" s="4">
        <v>46054</v>
      </c>
      <c r="C1110" t="s">
        <v>110</v>
      </c>
      <c r="D1110" t="s">
        <v>44</v>
      </c>
      <c r="E1110" s="2">
        <v>0</v>
      </c>
    </row>
    <row r="1111" spans="1:5" x14ac:dyDescent="0.25">
      <c r="A1111">
        <v>2026</v>
      </c>
      <c r="B1111" s="4">
        <v>46082</v>
      </c>
      <c r="C1111" t="s">
        <v>110</v>
      </c>
      <c r="D1111" t="s">
        <v>44</v>
      </c>
      <c r="E1111" s="2">
        <v>0</v>
      </c>
    </row>
    <row r="1112" spans="1:5" x14ac:dyDescent="0.25">
      <c r="A1112">
        <v>2026</v>
      </c>
      <c r="B1112" s="4">
        <v>46113</v>
      </c>
      <c r="C1112" t="s">
        <v>110</v>
      </c>
      <c r="D1112" t="s">
        <v>44</v>
      </c>
      <c r="E1112" s="2">
        <v>7</v>
      </c>
    </row>
    <row r="1113" spans="1:5" x14ac:dyDescent="0.25">
      <c r="A1113">
        <v>2026</v>
      </c>
      <c r="B1113" s="4">
        <v>46143</v>
      </c>
      <c r="C1113" t="s">
        <v>110</v>
      </c>
      <c r="D1113" t="s">
        <v>44</v>
      </c>
      <c r="E1113" s="2">
        <v>10.5</v>
      </c>
    </row>
    <row r="1114" spans="1:5" x14ac:dyDescent="0.25">
      <c r="A1114">
        <v>2026</v>
      </c>
      <c r="B1114" s="4">
        <v>46023</v>
      </c>
      <c r="C1114" t="s">
        <v>112</v>
      </c>
      <c r="D1114" t="s">
        <v>46</v>
      </c>
      <c r="E1114" s="2">
        <v>2397</v>
      </c>
    </row>
    <row r="1115" spans="1:5" x14ac:dyDescent="0.25">
      <c r="A1115">
        <v>2026</v>
      </c>
      <c r="B1115" s="4">
        <v>46054</v>
      </c>
      <c r="C1115" t="s">
        <v>112</v>
      </c>
      <c r="D1115" t="s">
        <v>46</v>
      </c>
      <c r="E1115" s="2">
        <v>2397</v>
      </c>
    </row>
    <row r="1116" spans="1:5" x14ac:dyDescent="0.25">
      <c r="A1116">
        <v>2026</v>
      </c>
      <c r="B1116" s="4">
        <v>46082</v>
      </c>
      <c r="C1116" t="s">
        <v>112</v>
      </c>
      <c r="D1116" t="s">
        <v>46</v>
      </c>
      <c r="E1116" s="2">
        <v>2397</v>
      </c>
    </row>
    <row r="1117" spans="1:5" x14ac:dyDescent="0.25">
      <c r="A1117">
        <v>2026</v>
      </c>
      <c r="B1117" s="4">
        <v>46113</v>
      </c>
      <c r="C1117" t="s">
        <v>112</v>
      </c>
      <c r="D1117" t="s">
        <v>46</v>
      </c>
      <c r="E1117" s="2">
        <v>4313.66</v>
      </c>
    </row>
    <row r="1118" spans="1:5" x14ac:dyDescent="0.25">
      <c r="A1118">
        <v>2026</v>
      </c>
      <c r="B1118" s="4">
        <v>46143</v>
      </c>
      <c r="C1118" t="s">
        <v>112</v>
      </c>
      <c r="D1118" t="s">
        <v>46</v>
      </c>
      <c r="E1118" s="2">
        <v>4063.66</v>
      </c>
    </row>
    <row r="1119" spans="1:5" x14ac:dyDescent="0.25">
      <c r="A1119">
        <v>2026</v>
      </c>
      <c r="B1119" s="4">
        <v>46023</v>
      </c>
      <c r="C1119" t="s">
        <v>112</v>
      </c>
      <c r="D1119" t="s">
        <v>26</v>
      </c>
      <c r="E1119" s="2">
        <v>0</v>
      </c>
    </row>
    <row r="1120" spans="1:5" x14ac:dyDescent="0.25">
      <c r="A1120">
        <v>2026</v>
      </c>
      <c r="B1120" s="4">
        <v>46054</v>
      </c>
      <c r="C1120" t="s">
        <v>112</v>
      </c>
      <c r="D1120" t="s">
        <v>26</v>
      </c>
      <c r="E1120" s="2">
        <v>5040</v>
      </c>
    </row>
    <row r="1121" spans="1:5" x14ac:dyDescent="0.25">
      <c r="A1121">
        <v>2026</v>
      </c>
      <c r="B1121" s="4">
        <v>46082</v>
      </c>
      <c r="C1121" t="s">
        <v>112</v>
      </c>
      <c r="D1121" t="s">
        <v>26</v>
      </c>
      <c r="E1121" s="2">
        <v>0</v>
      </c>
    </row>
    <row r="1122" spans="1:5" x14ac:dyDescent="0.25">
      <c r="A1122">
        <v>2026</v>
      </c>
      <c r="B1122" s="4">
        <v>46113</v>
      </c>
      <c r="C1122" t="s">
        <v>112</v>
      </c>
      <c r="D1122" t="s">
        <v>26</v>
      </c>
      <c r="E1122" s="2">
        <v>0</v>
      </c>
    </row>
    <row r="1123" spans="1:5" x14ac:dyDescent="0.25">
      <c r="A1123">
        <v>2026</v>
      </c>
      <c r="B1123" s="4">
        <v>46143</v>
      </c>
      <c r="C1123" t="s">
        <v>112</v>
      </c>
      <c r="D1123" t="s">
        <v>26</v>
      </c>
      <c r="E1123" s="2">
        <v>0</v>
      </c>
    </row>
    <row r="1124" spans="1:5" x14ac:dyDescent="0.25">
      <c r="A1124">
        <v>2026</v>
      </c>
      <c r="B1124" s="4">
        <v>46023</v>
      </c>
      <c r="C1124" t="s">
        <v>113</v>
      </c>
      <c r="D1124" t="s">
        <v>25</v>
      </c>
      <c r="E1124" s="2">
        <v>58.9</v>
      </c>
    </row>
    <row r="1125" spans="1:5" x14ac:dyDescent="0.25">
      <c r="A1125">
        <v>2026</v>
      </c>
      <c r="B1125" s="4">
        <v>46054</v>
      </c>
      <c r="C1125" t="s">
        <v>113</v>
      </c>
      <c r="D1125" t="s">
        <v>25</v>
      </c>
      <c r="E1125" s="2">
        <v>58.9</v>
      </c>
    </row>
    <row r="1126" spans="1:5" x14ac:dyDescent="0.25">
      <c r="A1126">
        <v>2026</v>
      </c>
      <c r="B1126" s="4">
        <v>46082</v>
      </c>
      <c r="C1126" t="s">
        <v>113</v>
      </c>
      <c r="D1126" t="s">
        <v>25</v>
      </c>
      <c r="E1126" s="2">
        <v>58.9</v>
      </c>
    </row>
    <row r="1127" spans="1:5" x14ac:dyDescent="0.25">
      <c r="A1127">
        <v>2026</v>
      </c>
      <c r="B1127" s="4">
        <v>46113</v>
      </c>
      <c r="C1127" t="s">
        <v>113</v>
      </c>
      <c r="D1127" t="s">
        <v>25</v>
      </c>
      <c r="E1127" s="2">
        <v>127.12</v>
      </c>
    </row>
    <row r="1128" spans="1:5" x14ac:dyDescent="0.25">
      <c r="A1128">
        <v>2026</v>
      </c>
      <c r="B1128" s="4">
        <v>46143</v>
      </c>
      <c r="C1128" t="s">
        <v>113</v>
      </c>
      <c r="D1128" t="s">
        <v>25</v>
      </c>
      <c r="E1128" s="2">
        <v>138.9</v>
      </c>
    </row>
    <row r="1129" spans="1:5" x14ac:dyDescent="0.25">
      <c r="A1129">
        <v>2026</v>
      </c>
      <c r="B1129" s="4">
        <v>46023</v>
      </c>
      <c r="C1129" t="s">
        <v>113</v>
      </c>
      <c r="D1129" t="s">
        <v>46</v>
      </c>
      <c r="E1129" s="2">
        <v>82.75</v>
      </c>
    </row>
    <row r="1130" spans="1:5" x14ac:dyDescent="0.25">
      <c r="A1130">
        <v>2026</v>
      </c>
      <c r="B1130" s="4">
        <v>46054</v>
      </c>
      <c r="C1130" t="s">
        <v>113</v>
      </c>
      <c r="D1130" t="s">
        <v>46</v>
      </c>
      <c r="E1130" s="2">
        <v>89.95</v>
      </c>
    </row>
    <row r="1131" spans="1:5" x14ac:dyDescent="0.25">
      <c r="A1131">
        <v>2026</v>
      </c>
      <c r="B1131" s="4">
        <v>46082</v>
      </c>
      <c r="C1131" t="s">
        <v>113</v>
      </c>
      <c r="D1131" t="s">
        <v>46</v>
      </c>
      <c r="E1131" s="2">
        <v>89.95</v>
      </c>
    </row>
    <row r="1132" spans="1:5" x14ac:dyDescent="0.25">
      <c r="A1132">
        <v>2026</v>
      </c>
      <c r="B1132" s="4">
        <v>46113</v>
      </c>
      <c r="C1132" t="s">
        <v>113</v>
      </c>
      <c r="D1132" t="s">
        <v>46</v>
      </c>
      <c r="E1132" s="2">
        <v>89.95</v>
      </c>
    </row>
    <row r="1133" spans="1:5" x14ac:dyDescent="0.25">
      <c r="A1133">
        <v>2026</v>
      </c>
      <c r="B1133" s="4">
        <v>46143</v>
      </c>
      <c r="C1133" t="s">
        <v>113</v>
      </c>
      <c r="D1133" t="s">
        <v>46</v>
      </c>
      <c r="E1133" s="2">
        <v>89.95</v>
      </c>
    </row>
    <row r="1134" spans="1:5" x14ac:dyDescent="0.25">
      <c r="A1134">
        <v>2026</v>
      </c>
      <c r="B1134" s="4">
        <v>46023</v>
      </c>
      <c r="C1134" t="s">
        <v>113</v>
      </c>
      <c r="D1134" t="s">
        <v>59</v>
      </c>
      <c r="E1134" s="2">
        <v>0</v>
      </c>
    </row>
    <row r="1135" spans="1:5" x14ac:dyDescent="0.25">
      <c r="A1135">
        <v>2026</v>
      </c>
      <c r="B1135" s="4">
        <v>46054</v>
      </c>
      <c r="C1135" t="s">
        <v>113</v>
      </c>
      <c r="D1135" t="s">
        <v>59</v>
      </c>
      <c r="E1135" s="2">
        <v>0</v>
      </c>
    </row>
    <row r="1136" spans="1:5" x14ac:dyDescent="0.25">
      <c r="A1136">
        <v>2026</v>
      </c>
      <c r="B1136" s="4">
        <v>46082</v>
      </c>
      <c r="C1136" t="s">
        <v>113</v>
      </c>
      <c r="D1136" t="s">
        <v>59</v>
      </c>
      <c r="E1136" s="2">
        <v>0</v>
      </c>
    </row>
    <row r="1137" spans="1:5" x14ac:dyDescent="0.25">
      <c r="A1137">
        <v>2026</v>
      </c>
      <c r="B1137" s="4">
        <v>46113</v>
      </c>
      <c r="C1137" t="s">
        <v>113</v>
      </c>
      <c r="D1137" t="s">
        <v>59</v>
      </c>
      <c r="E1137" s="2">
        <v>0</v>
      </c>
    </row>
    <row r="1138" spans="1:5" x14ac:dyDescent="0.25">
      <c r="A1138">
        <v>2026</v>
      </c>
      <c r="B1138" s="4">
        <v>46143</v>
      </c>
      <c r="C1138" t="s">
        <v>113</v>
      </c>
      <c r="D1138" t="s">
        <v>59</v>
      </c>
      <c r="E1138" s="2">
        <v>361.66</v>
      </c>
    </row>
    <row r="1139" spans="1:5" x14ac:dyDescent="0.25">
      <c r="A1139">
        <v>2026</v>
      </c>
      <c r="B1139" s="4">
        <v>46023</v>
      </c>
      <c r="C1139" t="s">
        <v>114</v>
      </c>
      <c r="D1139" t="s">
        <v>115</v>
      </c>
      <c r="E1139" s="2">
        <v>0</v>
      </c>
    </row>
    <row r="1140" spans="1:5" x14ac:dyDescent="0.25">
      <c r="A1140">
        <v>2026</v>
      </c>
      <c r="B1140" s="4">
        <v>46054</v>
      </c>
      <c r="C1140" t="s">
        <v>114</v>
      </c>
      <c r="D1140" t="s">
        <v>115</v>
      </c>
      <c r="E1140" s="2">
        <v>900</v>
      </c>
    </row>
    <row r="1141" spans="1:5" x14ac:dyDescent="0.25">
      <c r="A1141">
        <v>2026</v>
      </c>
      <c r="B1141" s="4">
        <v>46082</v>
      </c>
      <c r="C1141" t="s">
        <v>114</v>
      </c>
      <c r="D1141" t="s">
        <v>115</v>
      </c>
      <c r="E1141" s="2">
        <v>0</v>
      </c>
    </row>
    <row r="1142" spans="1:5" x14ac:dyDescent="0.25">
      <c r="A1142">
        <v>2026</v>
      </c>
      <c r="B1142" s="4">
        <v>46113</v>
      </c>
      <c r="C1142" t="s">
        <v>114</v>
      </c>
      <c r="D1142" t="s">
        <v>115</v>
      </c>
      <c r="E1142" s="2">
        <v>0</v>
      </c>
    </row>
    <row r="1143" spans="1:5" x14ac:dyDescent="0.25">
      <c r="A1143">
        <v>2026</v>
      </c>
      <c r="B1143" s="4">
        <v>46143</v>
      </c>
      <c r="C1143" t="s">
        <v>114</v>
      </c>
      <c r="D1143" t="s">
        <v>115</v>
      </c>
      <c r="E1143" s="2">
        <v>0</v>
      </c>
    </row>
    <row r="1144" spans="1:5" x14ac:dyDescent="0.25">
      <c r="A1144">
        <v>2026</v>
      </c>
      <c r="B1144" s="4">
        <v>46174</v>
      </c>
      <c r="C1144" t="s">
        <v>109</v>
      </c>
      <c r="D1144" t="s">
        <v>64</v>
      </c>
      <c r="E1144" s="2">
        <v>70000</v>
      </c>
    </row>
    <row r="1145" spans="1:5" x14ac:dyDescent="0.25">
      <c r="A1145">
        <v>2026</v>
      </c>
      <c r="B1145" s="4">
        <v>46174</v>
      </c>
      <c r="C1145" t="s">
        <v>109</v>
      </c>
      <c r="D1145" t="s">
        <v>161</v>
      </c>
      <c r="E1145" s="2">
        <v>492.31</v>
      </c>
    </row>
    <row r="1146" spans="1:5" x14ac:dyDescent="0.25">
      <c r="A1146">
        <v>2026</v>
      </c>
      <c r="B1146" s="4">
        <v>46174</v>
      </c>
      <c r="C1146" t="s">
        <v>113</v>
      </c>
      <c r="D1146" t="s">
        <v>59</v>
      </c>
      <c r="E1146" s="2">
        <v>54354.06</v>
      </c>
    </row>
    <row r="1147" spans="1:5" x14ac:dyDescent="0.25">
      <c r="A1147">
        <v>2026</v>
      </c>
      <c r="B1147" s="4">
        <v>46174</v>
      </c>
      <c r="C1147" t="s">
        <v>113</v>
      </c>
      <c r="D1147" t="s">
        <v>25</v>
      </c>
      <c r="E1147" s="2">
        <v>138.9</v>
      </c>
    </row>
    <row r="1148" spans="1:5" x14ac:dyDescent="0.25">
      <c r="A1148">
        <v>2026</v>
      </c>
      <c r="B1148" s="4">
        <v>46174</v>
      </c>
      <c r="C1148" t="s">
        <v>113</v>
      </c>
      <c r="D1148" t="s">
        <v>46</v>
      </c>
      <c r="E1148" s="2">
        <v>89.95</v>
      </c>
    </row>
    <row r="1149" spans="1:5" x14ac:dyDescent="0.25">
      <c r="A1149">
        <v>2026</v>
      </c>
      <c r="B1149" s="4">
        <v>46174</v>
      </c>
      <c r="C1149" t="s">
        <v>110</v>
      </c>
      <c r="D1149" t="s">
        <v>37</v>
      </c>
      <c r="E1149" s="2">
        <v>8759</v>
      </c>
    </row>
    <row r="1150" spans="1:5" x14ac:dyDescent="0.25">
      <c r="A1150">
        <v>2026</v>
      </c>
      <c r="B1150" s="4">
        <v>46174</v>
      </c>
      <c r="C1150" t="s">
        <v>110</v>
      </c>
      <c r="D1150" t="s">
        <v>35</v>
      </c>
      <c r="E1150" s="2">
        <v>6411.33</v>
      </c>
    </row>
    <row r="1151" spans="1:5" x14ac:dyDescent="0.25">
      <c r="A1151">
        <v>2026</v>
      </c>
      <c r="B1151" s="4">
        <v>46174</v>
      </c>
      <c r="C1151" t="s">
        <v>110</v>
      </c>
      <c r="D1151" t="s">
        <v>40</v>
      </c>
      <c r="E1151" s="2">
        <v>3567</v>
      </c>
    </row>
    <row r="1152" spans="1:5" x14ac:dyDescent="0.25">
      <c r="A1152">
        <v>2026</v>
      </c>
      <c r="B1152" s="4">
        <v>46174</v>
      </c>
      <c r="C1152" t="s">
        <v>110</v>
      </c>
      <c r="D1152" t="s">
        <v>33</v>
      </c>
      <c r="E1152" s="2">
        <v>3364.88</v>
      </c>
    </row>
    <row r="1153" spans="1:5" x14ac:dyDescent="0.25">
      <c r="A1153">
        <v>2026</v>
      </c>
      <c r="B1153" s="4">
        <v>46174</v>
      </c>
      <c r="C1153" t="s">
        <v>110</v>
      </c>
      <c r="D1153" t="s">
        <v>41</v>
      </c>
      <c r="E1153" s="2">
        <v>3001.8</v>
      </c>
    </row>
    <row r="1154" spans="1:5" x14ac:dyDescent="0.25">
      <c r="A1154">
        <v>2026</v>
      </c>
      <c r="B1154" s="4">
        <v>46174</v>
      </c>
      <c r="C1154" t="s">
        <v>110</v>
      </c>
      <c r="D1154" t="s">
        <v>53</v>
      </c>
      <c r="E1154" s="2">
        <v>2634.51</v>
      </c>
    </row>
    <row r="1155" spans="1:5" x14ac:dyDescent="0.25">
      <c r="A1155">
        <v>2026</v>
      </c>
      <c r="B1155" s="4">
        <v>46174</v>
      </c>
      <c r="C1155" t="s">
        <v>110</v>
      </c>
      <c r="D1155" t="s">
        <v>28</v>
      </c>
      <c r="E1155" s="2">
        <v>1620</v>
      </c>
    </row>
    <row r="1156" spans="1:5" x14ac:dyDescent="0.25">
      <c r="A1156">
        <v>2026</v>
      </c>
      <c r="B1156" s="4">
        <v>46174</v>
      </c>
      <c r="C1156" t="s">
        <v>110</v>
      </c>
      <c r="D1156" t="s">
        <v>49</v>
      </c>
      <c r="E1156" s="2">
        <v>1443</v>
      </c>
    </row>
    <row r="1157" spans="1:5" x14ac:dyDescent="0.25">
      <c r="A1157">
        <v>2026</v>
      </c>
      <c r="B1157" s="4">
        <v>46174</v>
      </c>
      <c r="C1157" t="s">
        <v>110</v>
      </c>
      <c r="D1157" t="s">
        <v>57</v>
      </c>
      <c r="E1157" s="2">
        <v>525.76</v>
      </c>
    </row>
    <row r="1158" spans="1:5" x14ac:dyDescent="0.25">
      <c r="A1158">
        <v>2026</v>
      </c>
      <c r="B1158" s="4">
        <v>46174</v>
      </c>
      <c r="C1158" t="s">
        <v>110</v>
      </c>
      <c r="D1158" t="s">
        <v>25</v>
      </c>
      <c r="E1158" s="2">
        <v>308.62</v>
      </c>
    </row>
    <row r="1159" spans="1:5" x14ac:dyDescent="0.25">
      <c r="A1159">
        <v>2026</v>
      </c>
      <c r="B1159" s="4">
        <v>46174</v>
      </c>
      <c r="C1159" t="s">
        <v>110</v>
      </c>
      <c r="D1159" t="s">
        <v>34</v>
      </c>
      <c r="E1159" s="2">
        <v>143</v>
      </c>
    </row>
    <row r="1160" spans="1:5" x14ac:dyDescent="0.25">
      <c r="A1160">
        <v>2026</v>
      </c>
      <c r="B1160" s="4">
        <v>46174</v>
      </c>
      <c r="C1160" t="s">
        <v>110</v>
      </c>
      <c r="D1160" t="s">
        <v>29</v>
      </c>
      <c r="E1160" s="2">
        <v>75.03</v>
      </c>
    </row>
    <row r="1161" spans="1:5" x14ac:dyDescent="0.25">
      <c r="A1161">
        <v>2026</v>
      </c>
      <c r="B1161" s="4">
        <v>46174</v>
      </c>
      <c r="C1161" t="s">
        <v>110</v>
      </c>
      <c r="D1161" t="s">
        <v>55</v>
      </c>
      <c r="E1161" s="2">
        <v>63.9</v>
      </c>
    </row>
    <row r="1162" spans="1:5" x14ac:dyDescent="0.25">
      <c r="A1162">
        <v>2026</v>
      </c>
      <c r="B1162" s="4">
        <v>46174</v>
      </c>
      <c r="C1162" t="s">
        <v>110</v>
      </c>
      <c r="D1162" t="s">
        <v>38</v>
      </c>
      <c r="E1162" s="2">
        <v>45.3</v>
      </c>
    </row>
    <row r="1163" spans="1:5" x14ac:dyDescent="0.25">
      <c r="A1163">
        <v>2026</v>
      </c>
      <c r="B1163" s="4">
        <v>46174</v>
      </c>
      <c r="C1163" t="s">
        <v>111</v>
      </c>
      <c r="D1163" t="s">
        <v>24</v>
      </c>
      <c r="E1163" s="2">
        <v>17145.55</v>
      </c>
    </row>
    <row r="1164" spans="1:5" x14ac:dyDescent="0.25">
      <c r="A1164">
        <v>2026</v>
      </c>
      <c r="B1164" s="4">
        <v>46174</v>
      </c>
      <c r="C1164" t="s">
        <v>111</v>
      </c>
      <c r="D1164" t="s">
        <v>30</v>
      </c>
      <c r="E1164" s="2">
        <v>786.86</v>
      </c>
    </row>
    <row r="1165" spans="1:5" x14ac:dyDescent="0.25">
      <c r="A1165">
        <v>2026</v>
      </c>
      <c r="B1165" s="4">
        <v>46174</v>
      </c>
      <c r="C1165" t="s">
        <v>112</v>
      </c>
      <c r="D1165" t="s">
        <v>46</v>
      </c>
      <c r="E1165" s="2">
        <v>4063.66</v>
      </c>
    </row>
    <row r="1166" spans="1:5" x14ac:dyDescent="0.25">
      <c r="A1166">
        <v>2026</v>
      </c>
      <c r="B1166" s="4">
        <v>46204</v>
      </c>
      <c r="C1166" t="s">
        <v>110</v>
      </c>
      <c r="D1166" t="s">
        <v>64</v>
      </c>
      <c r="E1166" s="2">
        <v>121000</v>
      </c>
    </row>
    <row r="1167" spans="1:5" x14ac:dyDescent="0.25">
      <c r="A1167">
        <v>2026</v>
      </c>
      <c r="B1167" s="4">
        <v>46204</v>
      </c>
      <c r="C1167" t="s">
        <v>110</v>
      </c>
      <c r="D1167" t="s">
        <v>37</v>
      </c>
      <c r="E1167" s="2">
        <v>9422</v>
      </c>
    </row>
    <row r="1168" spans="1:5" x14ac:dyDescent="0.25">
      <c r="A1168">
        <v>2026</v>
      </c>
      <c r="B1168" s="4">
        <v>46204</v>
      </c>
      <c r="C1168" t="s">
        <v>110</v>
      </c>
      <c r="D1168" t="s">
        <v>35</v>
      </c>
      <c r="E1168" s="2">
        <v>6411.33</v>
      </c>
    </row>
    <row r="1169" spans="1:5" x14ac:dyDescent="0.25">
      <c r="A1169">
        <v>2026</v>
      </c>
      <c r="B1169" s="4">
        <v>46204</v>
      </c>
      <c r="C1169" t="s">
        <v>110</v>
      </c>
      <c r="D1169" t="s">
        <v>33</v>
      </c>
      <c r="E1169" s="2">
        <v>3559.88</v>
      </c>
    </row>
    <row r="1170" spans="1:5" x14ac:dyDescent="0.25">
      <c r="A1170">
        <v>2026</v>
      </c>
      <c r="B1170" s="4">
        <v>46204</v>
      </c>
      <c r="C1170" t="s">
        <v>110</v>
      </c>
      <c r="D1170" t="s">
        <v>40</v>
      </c>
      <c r="E1170" s="2">
        <v>3276.25</v>
      </c>
    </row>
    <row r="1171" spans="1:5" x14ac:dyDescent="0.25">
      <c r="A1171">
        <v>2026</v>
      </c>
      <c r="B1171" s="4">
        <v>46204</v>
      </c>
      <c r="C1171" t="s">
        <v>110</v>
      </c>
      <c r="D1171" t="s">
        <v>53</v>
      </c>
      <c r="E1171" s="2">
        <v>2634.51</v>
      </c>
    </row>
    <row r="1172" spans="1:5" x14ac:dyDescent="0.25">
      <c r="A1172">
        <v>2026</v>
      </c>
      <c r="B1172" s="4">
        <v>46204</v>
      </c>
      <c r="C1172" t="s">
        <v>110</v>
      </c>
      <c r="D1172" t="s">
        <v>41</v>
      </c>
      <c r="E1172" s="2">
        <v>2289.8000000000002</v>
      </c>
    </row>
    <row r="1173" spans="1:5" x14ac:dyDescent="0.25">
      <c r="A1173">
        <v>2026</v>
      </c>
      <c r="B1173" s="4">
        <v>46204</v>
      </c>
      <c r="C1173" t="s">
        <v>110</v>
      </c>
      <c r="D1173" t="s">
        <v>28</v>
      </c>
      <c r="E1173" s="2">
        <v>1620</v>
      </c>
    </row>
    <row r="1174" spans="1:5" x14ac:dyDescent="0.25">
      <c r="A1174">
        <v>2026</v>
      </c>
      <c r="B1174" s="4">
        <v>46204</v>
      </c>
      <c r="C1174" t="s">
        <v>110</v>
      </c>
      <c r="D1174" t="s">
        <v>49</v>
      </c>
      <c r="E1174" s="2">
        <v>1443</v>
      </c>
    </row>
    <row r="1175" spans="1:5" x14ac:dyDescent="0.25">
      <c r="A1175">
        <v>2026</v>
      </c>
      <c r="B1175" s="4">
        <v>46204</v>
      </c>
      <c r="C1175" t="s">
        <v>110</v>
      </c>
      <c r="D1175" t="s">
        <v>56</v>
      </c>
      <c r="E1175" s="2">
        <v>550</v>
      </c>
    </row>
    <row r="1176" spans="1:5" x14ac:dyDescent="0.25">
      <c r="A1176">
        <v>2026</v>
      </c>
      <c r="B1176" s="4">
        <v>46204</v>
      </c>
      <c r="C1176" t="s">
        <v>110</v>
      </c>
      <c r="D1176" t="s">
        <v>57</v>
      </c>
      <c r="E1176" s="2">
        <v>378.5</v>
      </c>
    </row>
    <row r="1177" spans="1:5" x14ac:dyDescent="0.25">
      <c r="A1177">
        <v>2026</v>
      </c>
      <c r="B1177" s="4">
        <v>46204</v>
      </c>
      <c r="C1177" t="s">
        <v>110</v>
      </c>
      <c r="D1177" t="s">
        <v>25</v>
      </c>
      <c r="E1177" s="2">
        <v>339.48</v>
      </c>
    </row>
    <row r="1178" spans="1:5" x14ac:dyDescent="0.25">
      <c r="A1178">
        <v>2026</v>
      </c>
      <c r="B1178" s="4">
        <v>46204</v>
      </c>
      <c r="C1178" t="s">
        <v>110</v>
      </c>
      <c r="D1178" t="s">
        <v>34</v>
      </c>
      <c r="E1178" s="2">
        <v>143</v>
      </c>
    </row>
    <row r="1179" spans="1:5" x14ac:dyDescent="0.25">
      <c r="A1179">
        <v>2026</v>
      </c>
      <c r="B1179" s="4">
        <v>46204</v>
      </c>
      <c r="C1179" t="s">
        <v>110</v>
      </c>
      <c r="D1179" t="s">
        <v>50</v>
      </c>
      <c r="E1179" s="2">
        <v>100.96</v>
      </c>
    </row>
    <row r="1180" spans="1:5" x14ac:dyDescent="0.25">
      <c r="A1180">
        <v>2026</v>
      </c>
      <c r="B1180" s="4">
        <v>46204</v>
      </c>
      <c r="C1180" t="s">
        <v>110</v>
      </c>
      <c r="D1180" t="s">
        <v>55</v>
      </c>
      <c r="E1180" s="2">
        <v>63.9</v>
      </c>
    </row>
    <row r="1181" spans="1:5" x14ac:dyDescent="0.25">
      <c r="A1181">
        <v>2026</v>
      </c>
      <c r="B1181" s="4">
        <v>46204</v>
      </c>
      <c r="C1181" t="s">
        <v>110</v>
      </c>
      <c r="D1181" t="s">
        <v>38</v>
      </c>
      <c r="E1181" s="2">
        <v>45.3</v>
      </c>
    </row>
    <row r="1182" spans="1:5" x14ac:dyDescent="0.25">
      <c r="A1182">
        <v>2026</v>
      </c>
      <c r="B1182" s="4">
        <v>46204</v>
      </c>
      <c r="C1182" t="s">
        <v>110</v>
      </c>
      <c r="D1182" t="s">
        <v>44</v>
      </c>
      <c r="E1182" s="2">
        <v>7</v>
      </c>
    </row>
    <row r="1183" spans="1:5" x14ac:dyDescent="0.25">
      <c r="A1183">
        <v>2026</v>
      </c>
      <c r="B1183" s="4">
        <v>46204</v>
      </c>
      <c r="C1183" t="s">
        <v>109</v>
      </c>
      <c r="D1183" t="s">
        <v>64</v>
      </c>
      <c r="E1183" s="2">
        <v>50000</v>
      </c>
    </row>
    <row r="1184" spans="1:5" x14ac:dyDescent="0.25">
      <c r="A1184">
        <v>2026</v>
      </c>
      <c r="B1184" s="4">
        <v>46204</v>
      </c>
      <c r="C1184" t="s">
        <v>111</v>
      </c>
      <c r="D1184" t="s">
        <v>24</v>
      </c>
      <c r="E1184" s="2">
        <v>26926.959999999999</v>
      </c>
    </row>
    <row r="1185" spans="1:5" x14ac:dyDescent="0.25">
      <c r="A1185">
        <v>2026</v>
      </c>
      <c r="B1185" s="4">
        <v>46204</v>
      </c>
      <c r="C1185" t="s">
        <v>111</v>
      </c>
      <c r="D1185" t="s">
        <v>30</v>
      </c>
      <c r="E1185" s="2">
        <v>834.86</v>
      </c>
    </row>
    <row r="1186" spans="1:5" x14ac:dyDescent="0.25">
      <c r="A1186">
        <v>2026</v>
      </c>
      <c r="B1186" s="4">
        <v>46204</v>
      </c>
      <c r="C1186" t="s">
        <v>114</v>
      </c>
      <c r="D1186" t="s">
        <v>26</v>
      </c>
      <c r="E1186" s="2">
        <v>11760</v>
      </c>
    </row>
    <row r="1187" spans="1:5" x14ac:dyDescent="0.25">
      <c r="A1187">
        <v>2026</v>
      </c>
      <c r="B1187" s="4">
        <v>46204</v>
      </c>
      <c r="C1187" t="s">
        <v>114</v>
      </c>
      <c r="D1187" t="s">
        <v>115</v>
      </c>
      <c r="E1187" s="2">
        <v>3000</v>
      </c>
    </row>
    <row r="1188" spans="1:5" x14ac:dyDescent="0.25">
      <c r="A1188">
        <v>2026</v>
      </c>
      <c r="B1188" s="4">
        <v>46204</v>
      </c>
      <c r="C1188" t="s">
        <v>114</v>
      </c>
      <c r="D1188" t="s">
        <v>46</v>
      </c>
      <c r="E1188" s="2">
        <v>750</v>
      </c>
    </row>
    <row r="1189" spans="1:5" x14ac:dyDescent="0.25">
      <c r="A1189">
        <v>2026</v>
      </c>
      <c r="B1189" s="4">
        <v>46204</v>
      </c>
      <c r="C1189" t="s">
        <v>114</v>
      </c>
      <c r="D1189" t="s">
        <v>48</v>
      </c>
      <c r="E1189" s="2">
        <v>155.80000000000001</v>
      </c>
    </row>
    <row r="1190" spans="1:5" x14ac:dyDescent="0.25">
      <c r="A1190">
        <v>2026</v>
      </c>
      <c r="B1190" s="4">
        <v>46204</v>
      </c>
      <c r="C1190" t="s">
        <v>112</v>
      </c>
      <c r="D1190" t="s">
        <v>46</v>
      </c>
      <c r="E1190" s="2">
        <v>5063.67</v>
      </c>
    </row>
    <row r="1191" spans="1:5" x14ac:dyDescent="0.25">
      <c r="A1191">
        <v>2026</v>
      </c>
      <c r="B1191" s="4">
        <v>46204</v>
      </c>
      <c r="C1191" t="s">
        <v>113</v>
      </c>
      <c r="D1191" t="s">
        <v>25</v>
      </c>
      <c r="E1191" s="2">
        <v>138.9</v>
      </c>
    </row>
    <row r="1192" spans="1:5" x14ac:dyDescent="0.25">
      <c r="A1192">
        <v>2026</v>
      </c>
      <c r="B1192" s="4">
        <v>46204</v>
      </c>
      <c r="C1192" t="s">
        <v>113</v>
      </c>
      <c r="D1192" t="s">
        <v>46</v>
      </c>
      <c r="E1192" s="2">
        <v>89.95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3CCE-3608-4E40-900E-0830B0F94754}">
  <dimension ref="A1:AG76"/>
  <sheetViews>
    <sheetView showGridLines="0" topLeftCell="A51" workbookViewId="0">
      <pane xSplit="1" topLeftCell="Z1" activePane="topRight" state="frozen"/>
      <selection pane="topRight" activeCell="AF75" sqref="AF75"/>
    </sheetView>
  </sheetViews>
  <sheetFormatPr defaultRowHeight="15" x14ac:dyDescent="0.25"/>
  <cols>
    <col min="1" max="1" width="52.42578125" customWidth="1"/>
    <col min="2" max="33" width="18.7109375" customWidth="1"/>
  </cols>
  <sheetData>
    <row r="1" spans="1:33" s="5" customFormat="1" ht="15" customHeight="1" x14ac:dyDescent="0.25">
      <c r="A1" s="12" t="s">
        <v>67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73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78</v>
      </c>
      <c r="M1" s="13" t="s">
        <v>79</v>
      </c>
      <c r="N1" s="13" t="s">
        <v>80</v>
      </c>
      <c r="O1" s="13" t="s">
        <v>81</v>
      </c>
      <c r="P1" s="13" t="s">
        <v>82</v>
      </c>
      <c r="Q1" s="13" t="s">
        <v>83</v>
      </c>
      <c r="R1" s="13" t="s">
        <v>84</v>
      </c>
      <c r="S1" s="13" t="s">
        <v>85</v>
      </c>
      <c r="T1" s="13" t="s">
        <v>86</v>
      </c>
      <c r="U1" s="13" t="s">
        <v>87</v>
      </c>
      <c r="V1" s="13" t="s">
        <v>88</v>
      </c>
      <c r="W1" s="13" t="s">
        <v>89</v>
      </c>
      <c r="X1" s="13" t="s">
        <v>90</v>
      </c>
      <c r="Y1" s="13" t="s">
        <v>91</v>
      </c>
      <c r="Z1" s="13" t="s">
        <v>92</v>
      </c>
      <c r="AA1" s="13" t="s">
        <v>93</v>
      </c>
      <c r="AB1" s="13" t="s">
        <v>94</v>
      </c>
      <c r="AC1" s="13" t="s">
        <v>95</v>
      </c>
      <c r="AD1" s="13" t="s">
        <v>96</v>
      </c>
      <c r="AE1" s="13" t="s">
        <v>163</v>
      </c>
      <c r="AF1" s="13" t="s">
        <v>168</v>
      </c>
      <c r="AG1" s="14" t="s">
        <v>10</v>
      </c>
    </row>
    <row r="2" spans="1:33" ht="15.75" x14ac:dyDescent="0.25">
      <c r="A2" s="15" t="s">
        <v>11</v>
      </c>
      <c r="B2" s="16">
        <v>15000</v>
      </c>
      <c r="C2" s="16">
        <v>43881.42</v>
      </c>
      <c r="D2" s="16">
        <v>283765</v>
      </c>
      <c r="E2" s="16">
        <v>95877.46</v>
      </c>
      <c r="F2" s="16">
        <v>37885.199999999997</v>
      </c>
      <c r="G2" s="16">
        <v>34955.53</v>
      </c>
      <c r="H2" s="16">
        <v>96757.82</v>
      </c>
      <c r="I2" s="16">
        <v>92655.6</v>
      </c>
      <c r="J2" s="16">
        <v>29650.21</v>
      </c>
      <c r="K2" s="16">
        <v>45970.78</v>
      </c>
      <c r="L2" s="16">
        <v>37114.58</v>
      </c>
      <c r="M2" s="16">
        <v>116353.58</v>
      </c>
      <c r="N2" s="16">
        <v>54103.74</v>
      </c>
      <c r="O2" s="16">
        <v>363851.86</v>
      </c>
      <c r="P2" s="16">
        <v>288907.55</v>
      </c>
      <c r="Q2" s="16">
        <v>94529.25</v>
      </c>
      <c r="R2" s="16">
        <v>84862.25</v>
      </c>
      <c r="S2" s="16">
        <v>57286.31</v>
      </c>
      <c r="T2" s="16">
        <v>39626.9</v>
      </c>
      <c r="U2" s="16">
        <v>131607.67000000001</v>
      </c>
      <c r="V2" s="16">
        <v>73066.94</v>
      </c>
      <c r="W2" s="16">
        <v>57046.38</v>
      </c>
      <c r="X2" s="16">
        <v>59365.45</v>
      </c>
      <c r="Y2" s="16">
        <v>107503.53</v>
      </c>
      <c r="Z2" s="16">
        <v>67778.12</v>
      </c>
      <c r="AA2" s="16">
        <v>97001.13</v>
      </c>
      <c r="AB2" s="16">
        <v>71817.2</v>
      </c>
      <c r="AC2" s="16">
        <v>111738.32</v>
      </c>
      <c r="AD2" s="16">
        <v>95088.16</v>
      </c>
      <c r="AE2" s="16">
        <v>64669.32</v>
      </c>
      <c r="AF2" s="16">
        <v>136510.06</v>
      </c>
      <c r="AG2" s="16">
        <f>SUM(B2:AE2)</f>
        <v>2849717.26</v>
      </c>
    </row>
    <row r="3" spans="1:33" s="5" customFormat="1" ht="15.75" x14ac:dyDescent="0.25">
      <c r="A3" s="15" t="s">
        <v>12</v>
      </c>
      <c r="B3" s="16">
        <v>88044.69</v>
      </c>
      <c r="C3" s="16">
        <v>270638.90999999997</v>
      </c>
      <c r="D3" s="16">
        <v>266035.24</v>
      </c>
      <c r="E3" s="16">
        <v>77673.55</v>
      </c>
      <c r="F3" s="16">
        <v>171023.08</v>
      </c>
      <c r="G3" s="16">
        <v>353081.36</v>
      </c>
      <c r="H3" s="16">
        <v>351119.95</v>
      </c>
      <c r="I3" s="16">
        <v>61728.94</v>
      </c>
      <c r="J3" s="16">
        <v>109633.98</v>
      </c>
      <c r="K3" s="16">
        <v>94309.21</v>
      </c>
      <c r="L3" s="16">
        <v>113036.63</v>
      </c>
      <c r="M3" s="16">
        <v>117142.83</v>
      </c>
      <c r="N3" s="16">
        <v>692501.16</v>
      </c>
      <c r="O3" s="16">
        <v>292134.01</v>
      </c>
      <c r="P3" s="16">
        <v>269941.64</v>
      </c>
      <c r="Q3" s="16">
        <v>337841.16</v>
      </c>
      <c r="R3" s="16">
        <v>84556.58</v>
      </c>
      <c r="S3" s="16">
        <v>55775.48</v>
      </c>
      <c r="T3" s="16">
        <v>174978.82</v>
      </c>
      <c r="U3" s="16">
        <v>108110.71</v>
      </c>
      <c r="V3" s="16">
        <v>165092.59</v>
      </c>
      <c r="W3" s="16">
        <v>106143.17</v>
      </c>
      <c r="X3" s="16">
        <v>223050.83</v>
      </c>
      <c r="Y3" s="16">
        <v>170630.69</v>
      </c>
      <c r="Z3" s="16">
        <v>373489.48</v>
      </c>
      <c r="AA3" s="16">
        <v>216856.05</v>
      </c>
      <c r="AB3" s="16">
        <v>241655.5</v>
      </c>
      <c r="AC3" s="16">
        <v>197894.18</v>
      </c>
      <c r="AD3" s="16">
        <v>128388.54</v>
      </c>
      <c r="AE3" s="16">
        <v>250875.16</v>
      </c>
      <c r="AF3" s="16">
        <v>238633.96</v>
      </c>
      <c r="AG3" s="16">
        <f t="shared" ref="AG3:AG67" si="0">SUM(B3:AE3)</f>
        <v>6163384.120000001</v>
      </c>
    </row>
    <row r="4" spans="1:33" s="6" customFormat="1" ht="15.75" x14ac:dyDescent="0.25">
      <c r="A4" s="17" t="s">
        <v>144</v>
      </c>
      <c r="B4" s="18">
        <v>69214.61</v>
      </c>
      <c r="C4" s="18">
        <v>266160.89</v>
      </c>
      <c r="D4" s="18">
        <v>265636.25</v>
      </c>
      <c r="E4" s="18">
        <v>77666.95</v>
      </c>
      <c r="F4" s="18">
        <v>171019.18</v>
      </c>
      <c r="G4" s="18">
        <v>348636.01</v>
      </c>
      <c r="H4" s="18">
        <v>350736.44</v>
      </c>
      <c r="I4" s="18">
        <v>59426.01</v>
      </c>
      <c r="J4" s="18">
        <v>109628.67</v>
      </c>
      <c r="K4" s="18">
        <v>94204.59</v>
      </c>
      <c r="L4" s="18">
        <v>113031.32</v>
      </c>
      <c r="M4" s="18">
        <v>110900.94</v>
      </c>
      <c r="N4" s="18">
        <v>690450.93</v>
      </c>
      <c r="O4" s="18">
        <v>292132.06</v>
      </c>
      <c r="P4" s="18">
        <v>267528.59999999998</v>
      </c>
      <c r="Q4" s="18">
        <v>337535.77</v>
      </c>
      <c r="R4" s="18">
        <v>84553.46</v>
      </c>
      <c r="S4" s="18">
        <v>55771.97</v>
      </c>
      <c r="T4" s="18">
        <v>166001.37</v>
      </c>
      <c r="U4" s="18">
        <v>106007.2</v>
      </c>
      <c r="V4" s="18">
        <v>157982.9</v>
      </c>
      <c r="W4" s="18">
        <v>103871.22</v>
      </c>
      <c r="X4" s="18">
        <v>215529.23</v>
      </c>
      <c r="Y4" s="18">
        <v>170627.18</v>
      </c>
      <c r="Z4" s="18">
        <v>373312.54</v>
      </c>
      <c r="AA4" s="18">
        <v>214527.85</v>
      </c>
      <c r="AB4" s="18">
        <v>238967.08</v>
      </c>
      <c r="AC4" s="18">
        <v>196263.77</v>
      </c>
      <c r="AD4" s="18">
        <v>128021.03</v>
      </c>
      <c r="AE4" s="18">
        <v>195878.8</v>
      </c>
      <c r="AF4" s="18">
        <v>230094.7</v>
      </c>
      <c r="AG4" s="18">
        <f t="shared" si="0"/>
        <v>6031224.8200000003</v>
      </c>
    </row>
    <row r="5" spans="1:33" x14ac:dyDescent="0.25">
      <c r="A5" s="21" t="s">
        <v>164</v>
      </c>
      <c r="B5" s="22">
        <v>69214.61</v>
      </c>
      <c r="C5" s="22">
        <v>266160.89</v>
      </c>
      <c r="D5" s="22">
        <v>265636.25</v>
      </c>
      <c r="E5" s="22">
        <v>77666.95</v>
      </c>
      <c r="F5" s="22">
        <v>171019.18</v>
      </c>
      <c r="G5" s="22">
        <v>348636.01</v>
      </c>
      <c r="H5" s="22">
        <v>350736.44</v>
      </c>
      <c r="I5" s="22">
        <v>59426.01</v>
      </c>
      <c r="J5" s="22">
        <v>109628.67</v>
      </c>
      <c r="K5" s="22">
        <v>94204.59</v>
      </c>
      <c r="L5" s="22">
        <v>113031.32</v>
      </c>
      <c r="M5" s="22">
        <v>110900.94</v>
      </c>
      <c r="N5" s="22">
        <v>690450.93</v>
      </c>
      <c r="O5" s="22">
        <v>292132.06</v>
      </c>
      <c r="P5" s="22">
        <v>267528.59999999998</v>
      </c>
      <c r="Q5" s="22">
        <v>337535.77</v>
      </c>
      <c r="R5" s="22">
        <v>84553.46</v>
      </c>
      <c r="S5" s="22">
        <v>55771.97</v>
      </c>
      <c r="T5" s="22">
        <v>166001.37</v>
      </c>
      <c r="U5" s="22">
        <v>106007.2</v>
      </c>
      <c r="V5" s="22">
        <v>157982.9</v>
      </c>
      <c r="W5" s="22">
        <v>103871.22</v>
      </c>
      <c r="X5" s="22">
        <v>215529.23</v>
      </c>
      <c r="Y5" s="22">
        <v>170627.18</v>
      </c>
      <c r="Z5" s="22">
        <v>373312.54</v>
      </c>
      <c r="AA5" s="22">
        <v>214527.85</v>
      </c>
      <c r="AB5" s="22">
        <v>238967.08</v>
      </c>
      <c r="AC5" s="22">
        <v>196263.77</v>
      </c>
      <c r="AD5" s="22">
        <v>128021.03</v>
      </c>
      <c r="AE5" s="22">
        <v>195878.8</v>
      </c>
      <c r="AF5" s="22">
        <v>230094.7</v>
      </c>
      <c r="AG5" s="22">
        <f t="shared" si="0"/>
        <v>6031224.8200000003</v>
      </c>
    </row>
    <row r="6" spans="1:33" x14ac:dyDescent="0.25">
      <c r="A6" s="19" t="s">
        <v>13</v>
      </c>
      <c r="B6" s="20">
        <v>63421.88</v>
      </c>
      <c r="C6" s="20">
        <v>260364.22</v>
      </c>
      <c r="D6" s="20">
        <v>259837.71</v>
      </c>
      <c r="E6" s="20">
        <v>71871.11</v>
      </c>
      <c r="F6" s="20">
        <v>165235.57999999999</v>
      </c>
      <c r="G6" s="20">
        <v>342852.83</v>
      </c>
      <c r="H6" s="20">
        <v>348753.26</v>
      </c>
      <c r="I6" s="20">
        <v>55646.98</v>
      </c>
      <c r="J6" s="20">
        <v>105856.49</v>
      </c>
      <c r="K6" s="20">
        <v>86630.33</v>
      </c>
      <c r="L6" s="20">
        <v>109254.57</v>
      </c>
      <c r="M6" s="20">
        <v>104386.24000000001</v>
      </c>
      <c r="N6" s="20">
        <v>686668.58</v>
      </c>
      <c r="O6" s="20">
        <v>288353.86</v>
      </c>
      <c r="P6" s="20">
        <v>263756.63</v>
      </c>
      <c r="Q6" s="20">
        <v>333763.18</v>
      </c>
      <c r="R6" s="20">
        <v>80781.490000000005</v>
      </c>
      <c r="S6" s="20">
        <v>52000</v>
      </c>
      <c r="T6" s="20">
        <v>141072</v>
      </c>
      <c r="U6" s="20">
        <v>83940.62</v>
      </c>
      <c r="V6" s="20">
        <v>131794.43</v>
      </c>
      <c r="W6" s="20">
        <v>76925</v>
      </c>
      <c r="X6" s="20">
        <v>191927.94</v>
      </c>
      <c r="Y6" s="20">
        <v>143838.70000000001</v>
      </c>
      <c r="Z6" s="20">
        <v>355311.2</v>
      </c>
      <c r="AA6" s="20">
        <v>196526.51</v>
      </c>
      <c r="AB6" s="20">
        <v>220965.74</v>
      </c>
      <c r="AC6" s="20">
        <v>178262.43</v>
      </c>
      <c r="AD6" s="20">
        <v>111916.01</v>
      </c>
      <c r="AE6" s="20">
        <v>169773.78</v>
      </c>
      <c r="AF6" s="20">
        <v>203989.68</v>
      </c>
      <c r="AG6" s="20">
        <f t="shared" si="0"/>
        <v>5681689.3000000007</v>
      </c>
    </row>
    <row r="7" spans="1:33" x14ac:dyDescent="0.25">
      <c r="A7" s="19" t="s">
        <v>14</v>
      </c>
      <c r="B7" s="20">
        <v>5792.73</v>
      </c>
      <c r="C7" s="20">
        <v>5796.67</v>
      </c>
      <c r="D7" s="20">
        <v>5798.54</v>
      </c>
      <c r="E7" s="20">
        <v>5795.84</v>
      </c>
      <c r="F7" s="20">
        <v>5783.6</v>
      </c>
      <c r="G7" s="20">
        <v>5783.18</v>
      </c>
      <c r="H7" s="20">
        <v>1983.18</v>
      </c>
      <c r="I7" s="20">
        <v>3779.03</v>
      </c>
      <c r="J7" s="20">
        <v>3772.18</v>
      </c>
      <c r="K7" s="20">
        <v>7574.26</v>
      </c>
      <c r="L7" s="20">
        <v>3776.75</v>
      </c>
      <c r="M7" s="20">
        <v>6514.7</v>
      </c>
      <c r="N7" s="20">
        <v>3782.35</v>
      </c>
      <c r="O7" s="20">
        <v>3778.2</v>
      </c>
      <c r="P7" s="20">
        <v>3771.97</v>
      </c>
      <c r="Q7" s="20">
        <v>3772.59</v>
      </c>
      <c r="R7" s="20">
        <v>3771.97</v>
      </c>
      <c r="S7" s="20">
        <v>3771.97</v>
      </c>
      <c r="T7" s="20">
        <v>24929.37</v>
      </c>
      <c r="U7" s="20">
        <v>22066.58</v>
      </c>
      <c r="V7" s="20">
        <v>26188.47</v>
      </c>
      <c r="W7" s="20">
        <v>26946.22</v>
      </c>
      <c r="X7" s="20">
        <v>23601.29</v>
      </c>
      <c r="Y7" s="20">
        <v>26788.48</v>
      </c>
      <c r="Z7" s="20">
        <v>18001.34</v>
      </c>
      <c r="AA7" s="20">
        <v>18001.34</v>
      </c>
      <c r="AB7" s="20">
        <v>18001.34</v>
      </c>
      <c r="AC7" s="20">
        <v>18001.34</v>
      </c>
      <c r="AD7" s="20">
        <v>16105.02</v>
      </c>
      <c r="AE7" s="20">
        <v>26105.02</v>
      </c>
      <c r="AF7" s="20">
        <v>26105.02</v>
      </c>
      <c r="AG7" s="20">
        <f t="shared" si="0"/>
        <v>349535.52000000008</v>
      </c>
    </row>
    <row r="8" spans="1:33" s="6" customFormat="1" ht="15.75" x14ac:dyDescent="0.25">
      <c r="A8" s="17" t="s">
        <v>145</v>
      </c>
      <c r="B8" s="18">
        <v>2.34</v>
      </c>
      <c r="C8" s="18">
        <v>2.73</v>
      </c>
      <c r="D8" s="18">
        <v>398.99</v>
      </c>
      <c r="E8" s="18">
        <v>5.46</v>
      </c>
      <c r="F8" s="18">
        <v>3.9</v>
      </c>
      <c r="G8" s="18">
        <v>3.52</v>
      </c>
      <c r="H8" s="18">
        <v>3.51</v>
      </c>
      <c r="I8" s="18">
        <v>2.73</v>
      </c>
      <c r="J8" s="18">
        <v>5.31</v>
      </c>
      <c r="K8" s="18">
        <v>104.62</v>
      </c>
      <c r="L8" s="18">
        <v>5.31</v>
      </c>
      <c r="M8" s="18">
        <v>3.51</v>
      </c>
      <c r="N8" s="18">
        <v>3.12</v>
      </c>
      <c r="O8" s="18">
        <v>1.95</v>
      </c>
      <c r="P8" s="18">
        <v>659.25</v>
      </c>
      <c r="Q8" s="18">
        <v>2.34</v>
      </c>
      <c r="R8" s="18">
        <v>3.12</v>
      </c>
      <c r="S8" s="18">
        <v>3.51</v>
      </c>
      <c r="T8" s="18">
        <v>4.29</v>
      </c>
      <c r="U8" s="18">
        <v>3.51</v>
      </c>
      <c r="V8" s="18">
        <v>4.29</v>
      </c>
      <c r="W8" s="18">
        <v>4.29</v>
      </c>
      <c r="X8" s="18">
        <v>5.46</v>
      </c>
      <c r="Y8" s="18">
        <v>3.51</v>
      </c>
      <c r="Z8" s="18">
        <v>3.9</v>
      </c>
      <c r="AA8" s="18">
        <v>4.68</v>
      </c>
      <c r="AB8" s="18">
        <v>1519.57</v>
      </c>
      <c r="AC8" s="18">
        <v>10.92</v>
      </c>
      <c r="AD8" s="18">
        <v>5.85</v>
      </c>
      <c r="AE8" s="18">
        <v>3.9</v>
      </c>
      <c r="AF8" s="18">
        <v>5.46</v>
      </c>
      <c r="AG8" s="18">
        <f t="shared" si="0"/>
        <v>2789.39</v>
      </c>
    </row>
    <row r="9" spans="1:33" x14ac:dyDescent="0.25">
      <c r="A9" s="19" t="s">
        <v>15</v>
      </c>
      <c r="B9" s="20">
        <v>2.34</v>
      </c>
      <c r="C9" s="20">
        <v>2.73</v>
      </c>
      <c r="D9" s="20">
        <v>4.29</v>
      </c>
      <c r="E9" s="20">
        <v>5.46</v>
      </c>
      <c r="F9" s="20">
        <v>3.9</v>
      </c>
      <c r="G9" s="20">
        <v>3.51</v>
      </c>
      <c r="H9" s="20">
        <v>3.51</v>
      </c>
      <c r="I9" s="20">
        <v>2.73</v>
      </c>
      <c r="J9" s="20">
        <v>5.31</v>
      </c>
      <c r="K9" s="20">
        <v>5.31</v>
      </c>
      <c r="L9" s="20">
        <v>5.31</v>
      </c>
      <c r="M9" s="20">
        <v>3.51</v>
      </c>
      <c r="N9" s="20">
        <v>3.12</v>
      </c>
      <c r="O9" s="20">
        <v>1.95</v>
      </c>
      <c r="P9" s="20">
        <v>2.34</v>
      </c>
      <c r="Q9" s="20">
        <v>2.34</v>
      </c>
      <c r="R9" s="20">
        <v>3.12</v>
      </c>
      <c r="S9" s="20">
        <v>3.51</v>
      </c>
      <c r="T9" s="20">
        <v>4.29</v>
      </c>
      <c r="U9" s="20">
        <v>3.51</v>
      </c>
      <c r="V9" s="20">
        <v>4.29</v>
      </c>
      <c r="W9" s="20">
        <v>4.29</v>
      </c>
      <c r="X9" s="20">
        <v>5.46</v>
      </c>
      <c r="Y9" s="20">
        <v>3.51</v>
      </c>
      <c r="Z9" s="20">
        <v>3.9</v>
      </c>
      <c r="AA9" s="20">
        <v>4.68</v>
      </c>
      <c r="AB9" s="20">
        <v>3.9</v>
      </c>
      <c r="AC9" s="20">
        <v>10.92</v>
      </c>
      <c r="AD9" s="20">
        <v>5.85</v>
      </c>
      <c r="AE9" s="20">
        <v>3.9</v>
      </c>
      <c r="AF9" s="20">
        <v>5.46</v>
      </c>
      <c r="AG9" s="20">
        <f t="shared" si="0"/>
        <v>122.79000000000003</v>
      </c>
    </row>
    <row r="10" spans="1:33" x14ac:dyDescent="0.25">
      <c r="A10" s="19" t="s">
        <v>16</v>
      </c>
      <c r="B10" s="20">
        <v>0</v>
      </c>
      <c r="C10" s="20">
        <v>0</v>
      </c>
      <c r="D10" s="20">
        <v>394.7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656.91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1515.67</v>
      </c>
      <c r="AC10" s="20">
        <v>0</v>
      </c>
      <c r="AD10" s="20">
        <v>0</v>
      </c>
      <c r="AE10" s="20"/>
      <c r="AF10" s="20"/>
      <c r="AG10" s="20">
        <f t="shared" si="0"/>
        <v>2567.2799999999997</v>
      </c>
    </row>
    <row r="11" spans="1:33" x14ac:dyDescent="0.25">
      <c r="A11" s="19" t="s">
        <v>17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0.01</v>
      </c>
      <c r="H11" s="20">
        <v>0</v>
      </c>
      <c r="I11" s="20">
        <v>0</v>
      </c>
      <c r="J11" s="20">
        <v>0</v>
      </c>
      <c r="K11" s="20">
        <v>99.31</v>
      </c>
      <c r="L11" s="20">
        <v>0</v>
      </c>
      <c r="M11" s="20"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>
        <f t="shared" si="0"/>
        <v>99.320000000000007</v>
      </c>
    </row>
    <row r="12" spans="1:33" s="6" customFormat="1" ht="15.75" x14ac:dyDescent="0.25">
      <c r="A12" s="17" t="s">
        <v>146</v>
      </c>
      <c r="B12" s="18">
        <v>1320</v>
      </c>
      <c r="C12" s="18">
        <v>0</v>
      </c>
      <c r="D12" s="18">
        <v>0</v>
      </c>
      <c r="E12" s="18">
        <v>1.1399999999999999</v>
      </c>
      <c r="F12" s="18">
        <v>0</v>
      </c>
      <c r="G12" s="18">
        <v>4441.83</v>
      </c>
      <c r="H12" s="18">
        <v>380</v>
      </c>
      <c r="I12" s="18">
        <v>2300.1999999999998</v>
      </c>
      <c r="J12" s="18">
        <v>0</v>
      </c>
      <c r="K12" s="18">
        <v>0</v>
      </c>
      <c r="L12" s="18">
        <v>0</v>
      </c>
      <c r="M12" s="18">
        <v>6238.38</v>
      </c>
      <c r="N12" s="18">
        <v>2047.11</v>
      </c>
      <c r="O12" s="18">
        <v>0</v>
      </c>
      <c r="P12" s="18">
        <v>1753.79</v>
      </c>
      <c r="Q12" s="18">
        <v>303.05</v>
      </c>
      <c r="R12" s="18">
        <v>0</v>
      </c>
      <c r="S12" s="18">
        <v>0</v>
      </c>
      <c r="T12" s="18">
        <v>8973.16</v>
      </c>
      <c r="U12" s="18">
        <v>2100</v>
      </c>
      <c r="V12" s="18">
        <v>7105.4</v>
      </c>
      <c r="W12" s="18">
        <v>2267.66</v>
      </c>
      <c r="X12" s="18">
        <v>7516.14</v>
      </c>
      <c r="Y12" s="18">
        <v>0</v>
      </c>
      <c r="Z12" s="18">
        <v>173.04</v>
      </c>
      <c r="AA12" s="18">
        <v>2323.52</v>
      </c>
      <c r="AB12" s="18">
        <v>1168.8499999999999</v>
      </c>
      <c r="AC12" s="18">
        <v>1619.49</v>
      </c>
      <c r="AD12" s="18">
        <v>361.66</v>
      </c>
      <c r="AE12" s="18">
        <v>54992.46</v>
      </c>
      <c r="AF12" s="18">
        <v>8533.7999999999993</v>
      </c>
      <c r="AG12" s="18">
        <f t="shared" si="0"/>
        <v>107386.88</v>
      </c>
    </row>
    <row r="13" spans="1:33" x14ac:dyDescent="0.25">
      <c r="A13" s="19" t="s">
        <v>18</v>
      </c>
      <c r="B13" s="20">
        <v>1320</v>
      </c>
      <c r="C13" s="20">
        <v>0</v>
      </c>
      <c r="D13" s="20">
        <v>0</v>
      </c>
      <c r="E13" s="20">
        <v>1.1399999999999999</v>
      </c>
      <c r="F13" s="20">
        <v>0</v>
      </c>
      <c r="G13" s="20">
        <v>4441.83</v>
      </c>
      <c r="H13" s="20">
        <v>380</v>
      </c>
      <c r="I13" s="20">
        <v>2300.1999999999998</v>
      </c>
      <c r="J13" s="20">
        <v>0</v>
      </c>
      <c r="K13" s="20">
        <v>0</v>
      </c>
      <c r="L13" s="20">
        <v>0</v>
      </c>
      <c r="M13" s="20">
        <v>6238.38</v>
      </c>
      <c r="N13" s="20">
        <v>2047.11</v>
      </c>
      <c r="O13" s="20">
        <v>0</v>
      </c>
      <c r="P13" s="20">
        <v>1753.79</v>
      </c>
      <c r="Q13" s="20">
        <v>303.05</v>
      </c>
      <c r="R13" s="20">
        <v>0</v>
      </c>
      <c r="S13" s="20">
        <v>0</v>
      </c>
      <c r="T13" s="20">
        <v>8973.16</v>
      </c>
      <c r="U13" s="20">
        <v>2100</v>
      </c>
      <c r="V13" s="20">
        <v>7105.4</v>
      </c>
      <c r="W13" s="20">
        <v>2267.66</v>
      </c>
      <c r="X13" s="20">
        <v>7516.14</v>
      </c>
      <c r="Y13" s="20">
        <v>0</v>
      </c>
      <c r="Z13" s="20">
        <v>173.04</v>
      </c>
      <c r="AA13" s="20">
        <v>2323.52</v>
      </c>
      <c r="AB13" s="20">
        <v>1168.8499999999999</v>
      </c>
      <c r="AC13" s="20">
        <v>1619.49</v>
      </c>
      <c r="AD13" s="20">
        <v>361.66</v>
      </c>
      <c r="AE13" s="20">
        <v>54992.46</v>
      </c>
      <c r="AF13" s="20">
        <v>8533.7999999999993</v>
      </c>
      <c r="AG13" s="20">
        <f t="shared" si="0"/>
        <v>107386.88</v>
      </c>
    </row>
    <row r="14" spans="1:33" x14ac:dyDescent="0.25">
      <c r="A14" s="19" t="s">
        <v>19</v>
      </c>
      <c r="B14" s="20">
        <v>1320</v>
      </c>
      <c r="C14" s="20">
        <v>0</v>
      </c>
      <c r="D14" s="20">
        <v>0</v>
      </c>
      <c r="E14" s="20">
        <v>1.1399999999999999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2860.7</v>
      </c>
      <c r="N14" s="20">
        <v>0</v>
      </c>
      <c r="O14" s="20">
        <v>0</v>
      </c>
      <c r="P14" s="20">
        <v>1650</v>
      </c>
      <c r="Q14" s="20">
        <v>0</v>
      </c>
      <c r="R14" s="20">
        <v>0</v>
      </c>
      <c r="S14" s="20">
        <v>0</v>
      </c>
      <c r="T14" s="20">
        <v>1925</v>
      </c>
      <c r="U14" s="20">
        <v>0</v>
      </c>
      <c r="V14" s="20">
        <v>0</v>
      </c>
      <c r="W14" s="20">
        <v>757.88</v>
      </c>
      <c r="X14" s="20">
        <v>0</v>
      </c>
      <c r="Y14" s="20">
        <v>0</v>
      </c>
      <c r="Z14" s="20">
        <v>71.69</v>
      </c>
      <c r="AA14" s="20">
        <v>0</v>
      </c>
      <c r="AB14" s="20">
        <v>0</v>
      </c>
      <c r="AC14" s="20">
        <v>0</v>
      </c>
      <c r="AD14" s="20">
        <v>180.83</v>
      </c>
      <c r="AE14" s="20">
        <v>638.4</v>
      </c>
      <c r="AF14" s="20">
        <v>0</v>
      </c>
      <c r="AG14" s="20">
        <f t="shared" si="0"/>
        <v>9405.64</v>
      </c>
    </row>
    <row r="15" spans="1:33" x14ac:dyDescent="0.25">
      <c r="A15" s="19" t="s">
        <v>20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4441.83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2047.11</v>
      </c>
      <c r="O15" s="20">
        <v>0</v>
      </c>
      <c r="P15" s="20">
        <v>0</v>
      </c>
      <c r="Q15" s="20">
        <v>303.05</v>
      </c>
      <c r="R15" s="20">
        <v>0</v>
      </c>
      <c r="S15" s="20">
        <v>0</v>
      </c>
      <c r="T15" s="20">
        <v>4441.6400000000003</v>
      </c>
      <c r="U15" s="20">
        <v>0</v>
      </c>
      <c r="V15" s="20">
        <v>7105.4</v>
      </c>
      <c r="W15" s="20">
        <v>142</v>
      </c>
      <c r="X15" s="20">
        <v>3213.73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180.83</v>
      </c>
      <c r="AE15" s="20">
        <v>54354.06</v>
      </c>
      <c r="AF15" s="20">
        <v>0</v>
      </c>
      <c r="AG15" s="20">
        <f t="shared" si="0"/>
        <v>76229.649999999994</v>
      </c>
    </row>
    <row r="16" spans="1:33" x14ac:dyDescent="0.25">
      <c r="A16" s="19" t="s">
        <v>21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2300.1999999999998</v>
      </c>
      <c r="J16" s="20">
        <v>0</v>
      </c>
      <c r="K16" s="20">
        <v>0</v>
      </c>
      <c r="L16" s="20">
        <v>0</v>
      </c>
      <c r="M16" s="20">
        <v>3342.5</v>
      </c>
      <c r="N16" s="20">
        <v>0</v>
      </c>
      <c r="O16" s="20">
        <v>0</v>
      </c>
      <c r="P16" s="20">
        <v>103.79</v>
      </c>
      <c r="Q16" s="20">
        <v>0</v>
      </c>
      <c r="R16" s="20">
        <v>0</v>
      </c>
      <c r="S16" s="20">
        <v>0</v>
      </c>
      <c r="T16" s="20">
        <v>0</v>
      </c>
      <c r="U16" s="20">
        <v>2100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900</v>
      </c>
      <c r="AB16" s="20">
        <v>0</v>
      </c>
      <c r="AC16" s="20">
        <v>0</v>
      </c>
      <c r="AD16" s="20">
        <v>0</v>
      </c>
      <c r="AE16" s="20"/>
      <c r="AF16" s="20">
        <v>3000</v>
      </c>
      <c r="AG16" s="20">
        <f t="shared" si="0"/>
        <v>8746.49</v>
      </c>
    </row>
    <row r="17" spans="1:33" x14ac:dyDescent="0.25">
      <c r="A17" s="19" t="s">
        <v>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380</v>
      </c>
      <c r="I17" s="20">
        <v>0</v>
      </c>
      <c r="J17" s="20">
        <v>0</v>
      </c>
      <c r="K17" s="20">
        <v>0</v>
      </c>
      <c r="L17" s="20">
        <v>0</v>
      </c>
      <c r="M17" s="20">
        <v>35.18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2606.52</v>
      </c>
      <c r="U17" s="20">
        <v>0</v>
      </c>
      <c r="V17" s="20">
        <v>0</v>
      </c>
      <c r="W17" s="20">
        <v>1367.78</v>
      </c>
      <c r="X17" s="20">
        <v>4302.41</v>
      </c>
      <c r="Y17" s="20">
        <v>0</v>
      </c>
      <c r="Z17" s="20">
        <v>101.35</v>
      </c>
      <c r="AA17" s="20">
        <v>1423.52</v>
      </c>
      <c r="AB17" s="20">
        <v>1168.8499999999999</v>
      </c>
      <c r="AC17" s="20">
        <v>1619.49</v>
      </c>
      <c r="AD17" s="20">
        <v>0</v>
      </c>
      <c r="AE17" s="20"/>
      <c r="AF17" s="20">
        <v>5533.8</v>
      </c>
      <c r="AG17" s="20">
        <f t="shared" si="0"/>
        <v>13005.1</v>
      </c>
    </row>
    <row r="18" spans="1:33" ht="15.75" x14ac:dyDescent="0.25">
      <c r="A18" s="15" t="s">
        <v>23</v>
      </c>
      <c r="B18" s="16">
        <v>-59163.27</v>
      </c>
      <c r="C18" s="16">
        <v>-30755.33</v>
      </c>
      <c r="D18" s="16">
        <v>-453922.78</v>
      </c>
      <c r="E18" s="16">
        <v>-135665.81</v>
      </c>
      <c r="F18" s="16">
        <v>-173952.75</v>
      </c>
      <c r="G18" s="16">
        <v>-291279.07</v>
      </c>
      <c r="H18" s="16">
        <v>-355222.17</v>
      </c>
      <c r="I18" s="16">
        <v>-124734.33</v>
      </c>
      <c r="J18" s="16">
        <v>-93313.41</v>
      </c>
      <c r="K18" s="16">
        <v>-103165.41</v>
      </c>
      <c r="L18" s="16">
        <v>-33797.629999999997</v>
      </c>
      <c r="M18" s="16">
        <v>-179392.67</v>
      </c>
      <c r="N18" s="16">
        <v>-382753.04</v>
      </c>
      <c r="O18" s="16">
        <v>-367078.32</v>
      </c>
      <c r="P18" s="16">
        <v>-464319.94</v>
      </c>
      <c r="Q18" s="16">
        <v>-347508.16</v>
      </c>
      <c r="R18" s="16">
        <v>-112132.52</v>
      </c>
      <c r="S18" s="16">
        <v>-73434.89</v>
      </c>
      <c r="T18" s="16">
        <v>-82998.05</v>
      </c>
      <c r="U18" s="16">
        <v>-166651.44</v>
      </c>
      <c r="V18" s="16">
        <v>-181113.15</v>
      </c>
      <c r="W18" s="16">
        <v>-103824.1</v>
      </c>
      <c r="X18" s="16">
        <v>-174912.75</v>
      </c>
      <c r="Y18" s="16">
        <v>-210356.1</v>
      </c>
      <c r="Z18" s="16">
        <v>-344266.47</v>
      </c>
      <c r="AA18" s="16">
        <v>-242039.98</v>
      </c>
      <c r="AB18" s="16">
        <v>-201734.38</v>
      </c>
      <c r="AC18" s="16">
        <v>-214544.34</v>
      </c>
      <c r="AD18" s="16">
        <v>-158807.38</v>
      </c>
      <c r="AE18" s="16">
        <v>-179034.42</v>
      </c>
      <c r="AF18" s="16">
        <v>-252005.05</v>
      </c>
      <c r="AG18" s="16">
        <f t="shared" si="0"/>
        <v>-6041874.0599999987</v>
      </c>
    </row>
    <row r="19" spans="1:33" s="6" customFormat="1" ht="15.75" x14ac:dyDescent="0.25">
      <c r="A19" s="17" t="s">
        <v>147</v>
      </c>
      <c r="B19" s="18">
        <v>-2696.55</v>
      </c>
      <c r="C19" s="18">
        <v>-7308.65</v>
      </c>
      <c r="D19" s="18">
        <v>-25550.82</v>
      </c>
      <c r="E19" s="18">
        <v>-29394.240000000002</v>
      </c>
      <c r="F19" s="18">
        <v>-8591.5499999999993</v>
      </c>
      <c r="G19" s="18">
        <v>-17006.810000000001</v>
      </c>
      <c r="H19" s="18">
        <v>-38376.019999999997</v>
      </c>
      <c r="I19" s="18">
        <v>-44634.12</v>
      </c>
      <c r="J19" s="18">
        <v>-6501.45</v>
      </c>
      <c r="K19" s="18">
        <v>-12504.58</v>
      </c>
      <c r="L19" s="18">
        <v>-11216.96</v>
      </c>
      <c r="M19" s="18">
        <v>-14022.93</v>
      </c>
      <c r="N19" s="18">
        <v>-16359.35</v>
      </c>
      <c r="O19" s="18">
        <v>-90652.37</v>
      </c>
      <c r="P19" s="18">
        <v>-44088.82</v>
      </c>
      <c r="Q19" s="18">
        <v>-40473.79</v>
      </c>
      <c r="R19" s="18">
        <v>-52531.47</v>
      </c>
      <c r="S19" s="18">
        <v>-13170.39</v>
      </c>
      <c r="T19" s="18">
        <v>-8279.2099999999991</v>
      </c>
      <c r="U19" s="18">
        <v>-23373.93</v>
      </c>
      <c r="V19" s="18">
        <v>-14784.69</v>
      </c>
      <c r="W19" s="18">
        <v>-22824.65</v>
      </c>
      <c r="X19" s="18">
        <v>-15213.47</v>
      </c>
      <c r="Y19" s="18">
        <v>-31391.119999999999</v>
      </c>
      <c r="Z19" s="18">
        <v>-25627.5</v>
      </c>
      <c r="AA19" s="18">
        <v>-56574.01</v>
      </c>
      <c r="AB19" s="18">
        <v>-30764.76</v>
      </c>
      <c r="AC19" s="18">
        <v>-32089.02</v>
      </c>
      <c r="AD19" s="18">
        <v>-25916.1</v>
      </c>
      <c r="AE19" s="18">
        <v>-17145.55</v>
      </c>
      <c r="AF19" s="18">
        <v>-26926.959999999999</v>
      </c>
      <c r="AG19" s="18">
        <f t="shared" si="0"/>
        <v>-779064.88</v>
      </c>
    </row>
    <row r="20" spans="1:33" x14ac:dyDescent="0.25">
      <c r="A20" s="19" t="s">
        <v>24</v>
      </c>
      <c r="B20" s="20">
        <v>-2696.55</v>
      </c>
      <c r="C20" s="20">
        <v>-7308.65</v>
      </c>
      <c r="D20" s="20">
        <v>-25550.82</v>
      </c>
      <c r="E20" s="20">
        <v>-29394.240000000002</v>
      </c>
      <c r="F20" s="20">
        <v>-8591.5499999999993</v>
      </c>
      <c r="G20" s="20">
        <v>-17006.810000000001</v>
      </c>
      <c r="H20" s="20">
        <v>-38376.019999999997</v>
      </c>
      <c r="I20" s="20">
        <v>-44634.12</v>
      </c>
      <c r="J20" s="20">
        <v>-6501.45</v>
      </c>
      <c r="K20" s="20">
        <v>-12504.58</v>
      </c>
      <c r="L20" s="20">
        <v>-11216.96</v>
      </c>
      <c r="M20" s="20">
        <v>-14022.93</v>
      </c>
      <c r="N20" s="20">
        <v>-16359.35</v>
      </c>
      <c r="O20" s="20">
        <v>-90652.37</v>
      </c>
      <c r="P20" s="20">
        <v>-44088.82</v>
      </c>
      <c r="Q20" s="20">
        <v>-40473.79</v>
      </c>
      <c r="R20" s="20">
        <v>-52531.47</v>
      </c>
      <c r="S20" s="20">
        <v>-13170.39</v>
      </c>
      <c r="T20" s="20">
        <v>-8279.2099999999991</v>
      </c>
      <c r="U20" s="20">
        <v>-23373.93</v>
      </c>
      <c r="V20" s="20">
        <v>-14784.69</v>
      </c>
      <c r="W20" s="20">
        <v>-22824.65</v>
      </c>
      <c r="X20" s="20">
        <v>-15213.47</v>
      </c>
      <c r="Y20" s="20">
        <v>-31391.119999999999</v>
      </c>
      <c r="Z20" s="20">
        <v>-25627.5</v>
      </c>
      <c r="AA20" s="20">
        <v>-56574.01</v>
      </c>
      <c r="AB20" s="20">
        <v>-30764.76</v>
      </c>
      <c r="AC20" s="20">
        <v>-32089.02</v>
      </c>
      <c r="AD20" s="20">
        <v>-25916.1</v>
      </c>
      <c r="AE20" s="20">
        <v>-17145.55</v>
      </c>
      <c r="AF20" s="20">
        <v>-26926.959999999999</v>
      </c>
      <c r="AG20" s="20">
        <f t="shared" si="0"/>
        <v>-779064.88</v>
      </c>
    </row>
    <row r="21" spans="1:33" s="6" customFormat="1" ht="15.75" x14ac:dyDescent="0.25">
      <c r="A21" s="17" t="s">
        <v>148</v>
      </c>
      <c r="B21" s="18">
        <v>-11492.48</v>
      </c>
      <c r="C21" s="18">
        <v>-14583.94</v>
      </c>
      <c r="D21" s="18">
        <v>-11488.82</v>
      </c>
      <c r="E21" s="18">
        <v>-14709.59</v>
      </c>
      <c r="F21" s="18">
        <v>-17191.88</v>
      </c>
      <c r="G21" s="18">
        <v>-18522.25</v>
      </c>
      <c r="H21" s="18">
        <v>-18064.73</v>
      </c>
      <c r="I21" s="18">
        <v>-24779.18</v>
      </c>
      <c r="J21" s="18">
        <v>-14815.01</v>
      </c>
      <c r="K21" s="18">
        <v>-13732.28</v>
      </c>
      <c r="L21" s="18">
        <v>-17094.12</v>
      </c>
      <c r="M21" s="18">
        <v>-20009.490000000002</v>
      </c>
      <c r="N21" s="18">
        <v>-12394.97</v>
      </c>
      <c r="O21" s="18">
        <v>-20078.060000000001</v>
      </c>
      <c r="P21" s="18">
        <v>-6348.77</v>
      </c>
      <c r="Q21" s="18">
        <v>-12710.28</v>
      </c>
      <c r="R21" s="18">
        <v>-14654.69</v>
      </c>
      <c r="S21" s="18">
        <v>-17422.73</v>
      </c>
      <c r="T21" s="18">
        <v>-25434.37</v>
      </c>
      <c r="U21" s="18">
        <v>-16475.169999999998</v>
      </c>
      <c r="V21" s="18">
        <v>-36530.19</v>
      </c>
      <c r="W21" s="18">
        <v>-19030.27</v>
      </c>
      <c r="X21" s="18">
        <v>-27250.3</v>
      </c>
      <c r="Y21" s="18">
        <v>-25627.119999999999</v>
      </c>
      <c r="Z21" s="18">
        <v>-20998.080000000002</v>
      </c>
      <c r="AA21" s="18">
        <v>-25835.88</v>
      </c>
      <c r="AB21" s="18">
        <v>-22086.52</v>
      </c>
      <c r="AC21" s="18">
        <v>-23129.9</v>
      </c>
      <c r="AD21" s="18">
        <v>-23967.85</v>
      </c>
      <c r="AE21" s="18">
        <v>-28221.72</v>
      </c>
      <c r="AF21" s="18">
        <v>-39840.800000000003</v>
      </c>
      <c r="AG21" s="18">
        <f t="shared" si="0"/>
        <v>-574680.64</v>
      </c>
    </row>
    <row r="22" spans="1:33" s="7" customFormat="1" x14ac:dyDescent="0.25">
      <c r="A22" s="21" t="s">
        <v>150</v>
      </c>
      <c r="B22" s="22">
        <v>-137.79</v>
      </c>
      <c r="C22" s="22">
        <v>-137.79</v>
      </c>
      <c r="D22" s="22">
        <v>-137.79</v>
      </c>
      <c r="E22" s="22">
        <v>-160.29</v>
      </c>
      <c r="F22" s="22">
        <v>-182.79</v>
      </c>
      <c r="G22" s="22">
        <v>-182.79</v>
      </c>
      <c r="H22" s="22">
        <v>-188.1</v>
      </c>
      <c r="I22" s="22">
        <v>-188.1</v>
      </c>
      <c r="J22" s="22">
        <v>-188.1</v>
      </c>
      <c r="K22" s="22">
        <v>-212.1</v>
      </c>
      <c r="L22" s="22">
        <v>-233.1</v>
      </c>
      <c r="M22" s="22">
        <v>-194.2</v>
      </c>
      <c r="N22" s="22">
        <v>-253.1</v>
      </c>
      <c r="O22" s="22">
        <v>-253.1</v>
      </c>
      <c r="P22" s="22">
        <v>-253.1</v>
      </c>
      <c r="Q22" s="22">
        <v>-253.1</v>
      </c>
      <c r="R22" s="22">
        <v>-253.1</v>
      </c>
      <c r="S22" s="22">
        <v>-253.1</v>
      </c>
      <c r="T22" s="22">
        <v>-272.52</v>
      </c>
      <c r="U22" s="22">
        <v>-304.64999999999998</v>
      </c>
      <c r="V22" s="22">
        <v>-317.52</v>
      </c>
      <c r="W22" s="22">
        <v>-317.52</v>
      </c>
      <c r="X22" s="22">
        <v>-317.52</v>
      </c>
      <c r="Y22" s="22">
        <v>-317.52</v>
      </c>
      <c r="Z22" s="22">
        <v>-317.52</v>
      </c>
      <c r="AA22" s="22">
        <v>-317.52</v>
      </c>
      <c r="AB22" s="22">
        <v>-317.52</v>
      </c>
      <c r="AC22" s="22">
        <v>-1585.74</v>
      </c>
      <c r="AD22" s="22">
        <v>-420.76</v>
      </c>
      <c r="AE22" s="22">
        <v>-447.52</v>
      </c>
      <c r="AF22" s="22">
        <v>-478.38</v>
      </c>
      <c r="AG22" s="22">
        <f t="shared" si="0"/>
        <v>-8915.3700000000026</v>
      </c>
    </row>
    <row r="23" spans="1:33" x14ac:dyDescent="0.25">
      <c r="A23" s="19" t="s">
        <v>25</v>
      </c>
      <c r="B23" s="20">
        <v>-137.79</v>
      </c>
      <c r="C23" s="20">
        <v>-137.79</v>
      </c>
      <c r="D23" s="20">
        <v>-137.79</v>
      </c>
      <c r="E23" s="20">
        <v>-160.29</v>
      </c>
      <c r="F23" s="20">
        <v>-182.79</v>
      </c>
      <c r="G23" s="20">
        <v>-182.79</v>
      </c>
      <c r="H23" s="20">
        <v>-188.1</v>
      </c>
      <c r="I23" s="20">
        <v>-188.1</v>
      </c>
      <c r="J23" s="20">
        <v>-188.1</v>
      </c>
      <c r="K23" s="20">
        <v>-212.1</v>
      </c>
      <c r="L23" s="20">
        <v>-233.1</v>
      </c>
      <c r="M23" s="20">
        <v>-194.2</v>
      </c>
      <c r="N23" s="20">
        <v>-253.1</v>
      </c>
      <c r="O23" s="20">
        <v>-253.1</v>
      </c>
      <c r="P23" s="20">
        <v>-253.1</v>
      </c>
      <c r="Q23" s="20">
        <v>-253.1</v>
      </c>
      <c r="R23" s="20">
        <v>-253.1</v>
      </c>
      <c r="S23" s="20">
        <v>-253.1</v>
      </c>
      <c r="T23" s="20">
        <v>-272.52</v>
      </c>
      <c r="U23" s="20">
        <v>-304.64999999999998</v>
      </c>
      <c r="V23" s="20">
        <v>-317.52</v>
      </c>
      <c r="W23" s="20">
        <v>-317.52</v>
      </c>
      <c r="X23" s="20">
        <v>-317.52</v>
      </c>
      <c r="Y23" s="20">
        <v>-317.52</v>
      </c>
      <c r="Z23" s="20">
        <v>-317.52</v>
      </c>
      <c r="AA23" s="20">
        <v>-317.52</v>
      </c>
      <c r="AB23" s="20">
        <v>-317.52</v>
      </c>
      <c r="AC23" s="20">
        <v>-1585.74</v>
      </c>
      <c r="AD23" s="20">
        <v>-420.76</v>
      </c>
      <c r="AE23" s="20">
        <v>-447.52</v>
      </c>
      <c r="AF23" s="20">
        <v>-478.38</v>
      </c>
      <c r="AG23" s="20">
        <f t="shared" si="0"/>
        <v>-8915.3700000000026</v>
      </c>
    </row>
    <row r="24" spans="1:33" s="7" customFormat="1" x14ac:dyDescent="0.25">
      <c r="A24" s="21" t="s">
        <v>151</v>
      </c>
      <c r="B24" s="22">
        <v>-4527.5</v>
      </c>
      <c r="C24" s="22">
        <v>-7015</v>
      </c>
      <c r="D24" s="22">
        <v>-340</v>
      </c>
      <c r="E24" s="22">
        <v>-340</v>
      </c>
      <c r="F24" s="22">
        <v>0</v>
      </c>
      <c r="G24" s="22">
        <v>-850</v>
      </c>
      <c r="H24" s="22">
        <v>-850</v>
      </c>
      <c r="I24" s="22">
        <v>-3400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-5100</v>
      </c>
      <c r="U24" s="22">
        <v>0</v>
      </c>
      <c r="V24" s="22">
        <v>-1190</v>
      </c>
      <c r="W24" s="22">
        <v>0</v>
      </c>
      <c r="X24" s="22">
        <v>0</v>
      </c>
      <c r="Y24" s="22">
        <v>0</v>
      </c>
      <c r="Z24" s="22">
        <v>0</v>
      </c>
      <c r="AA24" s="22">
        <v>-5040</v>
      </c>
      <c r="AB24" s="22">
        <v>0</v>
      </c>
      <c r="AC24" s="22">
        <v>0</v>
      </c>
      <c r="AD24" s="22">
        <v>0</v>
      </c>
      <c r="AE24" s="22"/>
      <c r="AF24" s="22">
        <v>-11760</v>
      </c>
      <c r="AG24" s="22">
        <f t="shared" si="0"/>
        <v>-28652.5</v>
      </c>
    </row>
    <row r="25" spans="1:33" x14ac:dyDescent="0.25">
      <c r="A25" s="19" t="s">
        <v>26</v>
      </c>
      <c r="B25" s="20">
        <v>-4527.5</v>
      </c>
      <c r="C25" s="20">
        <v>-7015</v>
      </c>
      <c r="D25" s="20">
        <v>-340</v>
      </c>
      <c r="E25" s="20">
        <v>-340</v>
      </c>
      <c r="F25" s="20">
        <v>0</v>
      </c>
      <c r="G25" s="20">
        <v>-850</v>
      </c>
      <c r="H25" s="20">
        <v>-850</v>
      </c>
      <c r="I25" s="20">
        <v>-3400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-5100</v>
      </c>
      <c r="U25" s="20">
        <v>0</v>
      </c>
      <c r="V25" s="20">
        <v>-1190</v>
      </c>
      <c r="W25" s="20">
        <v>0</v>
      </c>
      <c r="X25" s="20">
        <v>0</v>
      </c>
      <c r="Y25" s="20">
        <v>0</v>
      </c>
      <c r="Z25" s="20">
        <v>0</v>
      </c>
      <c r="AA25" s="20">
        <v>-5040</v>
      </c>
      <c r="AB25" s="20">
        <v>0</v>
      </c>
      <c r="AC25" s="20">
        <v>0</v>
      </c>
      <c r="AD25" s="20">
        <v>0</v>
      </c>
      <c r="AE25" s="20"/>
      <c r="AF25" s="20">
        <v>-11760</v>
      </c>
      <c r="AG25" s="20">
        <f t="shared" si="0"/>
        <v>-28652.5</v>
      </c>
    </row>
    <row r="26" spans="1:33" s="7" customFormat="1" x14ac:dyDescent="0.25">
      <c r="A26" s="21" t="s">
        <v>152</v>
      </c>
      <c r="B26" s="22">
        <v>-6827.19</v>
      </c>
      <c r="C26" s="22">
        <v>-7431.15</v>
      </c>
      <c r="D26" s="22">
        <v>-11011.03</v>
      </c>
      <c r="E26" s="22">
        <v>-14209.3</v>
      </c>
      <c r="F26" s="22">
        <v>-17009.09</v>
      </c>
      <c r="G26" s="22">
        <v>-17489.46</v>
      </c>
      <c r="H26" s="22">
        <v>-17026.63</v>
      </c>
      <c r="I26" s="22">
        <v>-21191.08</v>
      </c>
      <c r="J26" s="22">
        <v>-14626.91</v>
      </c>
      <c r="K26" s="22">
        <v>-13520.18</v>
      </c>
      <c r="L26" s="22">
        <v>-16861.02</v>
      </c>
      <c r="M26" s="22">
        <v>-19815.29</v>
      </c>
      <c r="N26" s="22">
        <v>-12141.87</v>
      </c>
      <c r="O26" s="22">
        <v>-19824.96</v>
      </c>
      <c r="P26" s="22">
        <v>-6095.67</v>
      </c>
      <c r="Q26" s="22">
        <v>-12457.18</v>
      </c>
      <c r="R26" s="22">
        <v>-14401.59</v>
      </c>
      <c r="S26" s="22">
        <v>-17169.63</v>
      </c>
      <c r="T26" s="22">
        <v>-20061.849999999999</v>
      </c>
      <c r="U26" s="22">
        <v>-16170.52</v>
      </c>
      <c r="V26" s="22">
        <v>-35022.67</v>
      </c>
      <c r="W26" s="22">
        <v>-18712.75</v>
      </c>
      <c r="X26" s="22">
        <v>-26932.78</v>
      </c>
      <c r="Y26" s="22">
        <v>-25309.599999999999</v>
      </c>
      <c r="Z26" s="22">
        <v>-20680.560000000001</v>
      </c>
      <c r="AA26" s="22">
        <v>-20478.36</v>
      </c>
      <c r="AB26" s="22">
        <v>-21769</v>
      </c>
      <c r="AC26" s="22">
        <v>-21544.16</v>
      </c>
      <c r="AD26" s="22">
        <v>-23547.09</v>
      </c>
      <c r="AE26" s="22">
        <v>-27774.2</v>
      </c>
      <c r="AF26" s="22">
        <v>-27602.42</v>
      </c>
      <c r="AG26" s="22">
        <f t="shared" si="0"/>
        <v>-537112.77</v>
      </c>
    </row>
    <row r="27" spans="1:33" x14ac:dyDescent="0.25">
      <c r="A27" s="19" t="s">
        <v>27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-3250</v>
      </c>
      <c r="M27" s="20">
        <v>-3666.67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-790.74</v>
      </c>
      <c r="Y27" s="20">
        <v>-1159.74</v>
      </c>
      <c r="Z27" s="20"/>
      <c r="AA27" s="20"/>
      <c r="AB27" s="20"/>
      <c r="AC27" s="20"/>
      <c r="AD27" s="20"/>
      <c r="AE27" s="20"/>
      <c r="AF27" s="20"/>
      <c r="AG27" s="20">
        <f t="shared" si="0"/>
        <v>-8867.15</v>
      </c>
    </row>
    <row r="28" spans="1:33" x14ac:dyDescent="0.25">
      <c r="A28" s="19" t="s">
        <v>28</v>
      </c>
      <c r="B28" s="20">
        <v>-1320</v>
      </c>
      <c r="C28" s="20">
        <v>-444</v>
      </c>
      <c r="D28" s="20">
        <v>-1624.8</v>
      </c>
      <c r="E28" s="20">
        <v>-2824</v>
      </c>
      <c r="F28" s="20">
        <v>-2824</v>
      </c>
      <c r="G28" s="20">
        <v>-2824</v>
      </c>
      <c r="H28" s="20">
        <v>-2824</v>
      </c>
      <c r="I28" s="20">
        <v>-2824</v>
      </c>
      <c r="J28" s="20">
        <v>-2824</v>
      </c>
      <c r="K28" s="20">
        <v>-2809</v>
      </c>
      <c r="L28" s="20">
        <v>-2824</v>
      </c>
      <c r="M28" s="20">
        <v>-2824</v>
      </c>
      <c r="N28" s="20">
        <v>-1412</v>
      </c>
      <c r="O28" s="20">
        <v>-2783</v>
      </c>
      <c r="P28" s="20">
        <v>0</v>
      </c>
      <c r="Q28" s="20">
        <v>-1518</v>
      </c>
      <c r="R28" s="20">
        <v>-1518</v>
      </c>
      <c r="S28" s="20">
        <v>-1771</v>
      </c>
      <c r="T28" s="20">
        <v>-3036</v>
      </c>
      <c r="U28" s="20">
        <v>-2277</v>
      </c>
      <c r="V28" s="20">
        <v>-3036</v>
      </c>
      <c r="W28" s="20">
        <v>-3036</v>
      </c>
      <c r="X28" s="20">
        <v>-3036</v>
      </c>
      <c r="Y28" s="20">
        <v>-1518</v>
      </c>
      <c r="Z28" s="20">
        <v>-1518</v>
      </c>
      <c r="AA28" s="20">
        <v>-1350</v>
      </c>
      <c r="AB28" s="20">
        <v>-1621</v>
      </c>
      <c r="AC28" s="20">
        <v>0</v>
      </c>
      <c r="AD28" s="20">
        <v>-432</v>
      </c>
      <c r="AE28" s="20">
        <v>-1620</v>
      </c>
      <c r="AF28" s="20">
        <v>-1620</v>
      </c>
      <c r="AG28" s="20">
        <f t="shared" si="0"/>
        <v>-60271.8</v>
      </c>
    </row>
    <row r="29" spans="1:33" x14ac:dyDescent="0.25">
      <c r="A29" s="19" t="s">
        <v>29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>
        <v>0</v>
      </c>
      <c r="O29" s="20">
        <v>-49.6</v>
      </c>
      <c r="P29" s="20">
        <v>-49.6</v>
      </c>
      <c r="Q29" s="20">
        <v>-49.6</v>
      </c>
      <c r="R29" s="20">
        <v>-49.6</v>
      </c>
      <c r="S29" s="20">
        <v>-49.6</v>
      </c>
      <c r="T29" s="20">
        <v>-49.6</v>
      </c>
      <c r="U29" s="20">
        <v>-49.6</v>
      </c>
      <c r="V29" s="20">
        <v>-49.6</v>
      </c>
      <c r="W29" s="20">
        <v>-49.6</v>
      </c>
      <c r="X29" s="20">
        <v>-49.6</v>
      </c>
      <c r="Y29" s="20">
        <v>-49.6</v>
      </c>
      <c r="Z29" s="20">
        <v>-49.6</v>
      </c>
      <c r="AA29" s="20">
        <v>0</v>
      </c>
      <c r="AB29" s="20">
        <v>0</v>
      </c>
      <c r="AC29" s="20">
        <v>0</v>
      </c>
      <c r="AD29" s="20">
        <v>-75.040000000000006</v>
      </c>
      <c r="AE29" s="20">
        <v>-75.03</v>
      </c>
      <c r="AF29" s="20">
        <v>0</v>
      </c>
      <c r="AG29" s="20">
        <f t="shared" si="0"/>
        <v>-745.2700000000001</v>
      </c>
    </row>
    <row r="30" spans="1:33" x14ac:dyDescent="0.25">
      <c r="A30" s="19" t="s">
        <v>30</v>
      </c>
      <c r="B30" s="20">
        <v>0</v>
      </c>
      <c r="C30" s="20">
        <v>0</v>
      </c>
      <c r="D30" s="20">
        <v>0</v>
      </c>
      <c r="E30" s="20">
        <v>-32</v>
      </c>
      <c r="F30" s="20">
        <v>-160</v>
      </c>
      <c r="G30" s="20">
        <v>-160</v>
      </c>
      <c r="H30" s="20">
        <v>-160</v>
      </c>
      <c r="I30" s="20">
        <v>-814.02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-46</v>
      </c>
      <c r="T30" s="20">
        <v>-210.85</v>
      </c>
      <c r="U30" s="20">
        <v>0</v>
      </c>
      <c r="V30" s="20">
        <v>0</v>
      </c>
      <c r="W30" s="20">
        <v>-362.68</v>
      </c>
      <c r="X30" s="20">
        <v>-506.06</v>
      </c>
      <c r="Y30" s="20">
        <v>-569.29999999999995</v>
      </c>
      <c r="Z30" s="20">
        <v>-611.48</v>
      </c>
      <c r="AA30" s="20">
        <v>-506.06</v>
      </c>
      <c r="AB30" s="20">
        <v>-533.9</v>
      </c>
      <c r="AC30" s="20">
        <v>-570.36</v>
      </c>
      <c r="AD30" s="20">
        <v>-664.09</v>
      </c>
      <c r="AE30" s="20">
        <v>-786.86</v>
      </c>
      <c r="AF30" s="20">
        <v>-834.86</v>
      </c>
      <c r="AG30" s="20">
        <f t="shared" si="0"/>
        <v>-6693.6599999999989</v>
      </c>
    </row>
    <row r="31" spans="1:33" x14ac:dyDescent="0.25">
      <c r="A31" s="19" t="s">
        <v>31</v>
      </c>
      <c r="B31" s="20">
        <v>-1320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-253</v>
      </c>
      <c r="P31" s="20">
        <v>0</v>
      </c>
      <c r="Q31" s="20">
        <v>0</v>
      </c>
      <c r="R31" s="20">
        <v>0</v>
      </c>
      <c r="S31" s="20">
        <v>0</v>
      </c>
      <c r="T31" s="20">
        <v>-759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-271</v>
      </c>
      <c r="AA31" s="20">
        <v>0</v>
      </c>
      <c r="AB31" s="20">
        <v>0</v>
      </c>
      <c r="AC31" s="20">
        <v>0</v>
      </c>
      <c r="AD31" s="20">
        <v>0</v>
      </c>
      <c r="AE31" s="20"/>
      <c r="AF31" s="20"/>
      <c r="AG31" s="20">
        <f t="shared" si="0"/>
        <v>-2603</v>
      </c>
    </row>
    <row r="32" spans="1:33" x14ac:dyDescent="0.25">
      <c r="A32" s="19" t="s">
        <v>32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-4061.27</v>
      </c>
      <c r="J32" s="20">
        <v>0</v>
      </c>
      <c r="K32" s="20">
        <v>0</v>
      </c>
      <c r="L32" s="20">
        <v>0</v>
      </c>
      <c r="M32" s="20">
        <v>-1600.27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-697.26</v>
      </c>
      <c r="U32" s="20">
        <v>0</v>
      </c>
      <c r="V32" s="20">
        <v>0</v>
      </c>
      <c r="W32" s="20">
        <v>0</v>
      </c>
      <c r="X32" s="20">
        <v>-1907.8</v>
      </c>
      <c r="Y32" s="20">
        <v>0</v>
      </c>
      <c r="Z32" s="20">
        <v>0</v>
      </c>
      <c r="AA32" s="20">
        <v>0</v>
      </c>
      <c r="AB32" s="20">
        <v>-628.03</v>
      </c>
      <c r="AC32" s="20">
        <v>0</v>
      </c>
      <c r="AD32" s="20">
        <v>0</v>
      </c>
      <c r="AE32" s="20"/>
      <c r="AF32" s="20"/>
      <c r="AG32" s="20">
        <f t="shared" si="0"/>
        <v>-8894.630000000001</v>
      </c>
    </row>
    <row r="33" spans="1:33" x14ac:dyDescent="0.25">
      <c r="A33" s="19" t="s">
        <v>33</v>
      </c>
      <c r="B33" s="20">
        <v>-409.2</v>
      </c>
      <c r="C33" s="20">
        <v>-437.72</v>
      </c>
      <c r="D33" s="20">
        <v>-437.72</v>
      </c>
      <c r="E33" s="20">
        <v>-551.72</v>
      </c>
      <c r="F33" s="20">
        <v>-1016.54</v>
      </c>
      <c r="G33" s="20">
        <v>-1016.54</v>
      </c>
      <c r="H33" s="20">
        <v>-1016.54</v>
      </c>
      <c r="I33" s="20">
        <v>-1016.54</v>
      </c>
      <c r="J33" s="20">
        <v>-846.21</v>
      </c>
      <c r="K33" s="20">
        <v>-437.72</v>
      </c>
      <c r="L33" s="20">
        <v>-437.72</v>
      </c>
      <c r="M33" s="20">
        <v>-437.72</v>
      </c>
      <c r="N33" s="20">
        <v>-437.72</v>
      </c>
      <c r="O33" s="20">
        <v>-470.58</v>
      </c>
      <c r="P33" s="20">
        <v>-470.58</v>
      </c>
      <c r="Q33" s="20">
        <v>-470.58</v>
      </c>
      <c r="R33" s="20">
        <v>-470.58</v>
      </c>
      <c r="S33" s="20">
        <v>-634.47</v>
      </c>
      <c r="T33" s="20">
        <v>-1234.93</v>
      </c>
      <c r="U33" s="20">
        <v>-470.58</v>
      </c>
      <c r="V33" s="20">
        <v>-470.58</v>
      </c>
      <c r="W33" s="20">
        <v>-1786.67</v>
      </c>
      <c r="X33" s="20">
        <v>-2344.9</v>
      </c>
      <c r="Y33" s="20">
        <v>-2964.88</v>
      </c>
      <c r="Z33" s="20">
        <v>-2363.94</v>
      </c>
      <c r="AA33" s="20">
        <v>-2335.58</v>
      </c>
      <c r="AB33" s="20">
        <v>-2448.65</v>
      </c>
      <c r="AC33" s="20">
        <v>-2576.2800000000002</v>
      </c>
      <c r="AD33" s="20">
        <v>-2904.36</v>
      </c>
      <c r="AE33" s="20">
        <v>-3364.88</v>
      </c>
      <c r="AF33" s="20">
        <v>-3559.88</v>
      </c>
      <c r="AG33" s="20">
        <f t="shared" si="0"/>
        <v>-36282.629999999997</v>
      </c>
    </row>
    <row r="34" spans="1:33" x14ac:dyDescent="0.25">
      <c r="A34" s="19" t="s">
        <v>34</v>
      </c>
      <c r="B34" s="20">
        <v>0</v>
      </c>
      <c r="C34" s="20">
        <v>0</v>
      </c>
      <c r="D34" s="20">
        <v>-60</v>
      </c>
      <c r="E34" s="20">
        <v>-45</v>
      </c>
      <c r="F34" s="20">
        <v>0</v>
      </c>
      <c r="G34" s="20">
        <v>0</v>
      </c>
      <c r="H34" s="20">
        <v>0</v>
      </c>
      <c r="I34" s="20">
        <v>0</v>
      </c>
      <c r="J34" s="20">
        <v>-40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-96</v>
      </c>
      <c r="X34" s="20">
        <v>0</v>
      </c>
      <c r="Y34" s="20">
        <v>-48</v>
      </c>
      <c r="Z34" s="20">
        <v>0</v>
      </c>
      <c r="AA34" s="20">
        <v>0</v>
      </c>
      <c r="AB34" s="20">
        <v>0</v>
      </c>
      <c r="AC34" s="20">
        <v>-96</v>
      </c>
      <c r="AD34" s="20">
        <v>-96</v>
      </c>
      <c r="AE34" s="20">
        <v>-143</v>
      </c>
      <c r="AF34" s="20">
        <v>-143</v>
      </c>
      <c r="AG34" s="20">
        <f t="shared" si="0"/>
        <v>-624</v>
      </c>
    </row>
    <row r="35" spans="1:33" x14ac:dyDescent="0.25">
      <c r="A35" s="19" t="s">
        <v>35</v>
      </c>
      <c r="B35" s="20">
        <v>-2962.65</v>
      </c>
      <c r="C35" s="20">
        <v>-3462.65</v>
      </c>
      <c r="D35" s="20">
        <v>-3462.65</v>
      </c>
      <c r="E35" s="20">
        <v>-6057.48</v>
      </c>
      <c r="F35" s="20">
        <v>-7015.62</v>
      </c>
      <c r="G35" s="20">
        <v>-6971.44</v>
      </c>
      <c r="H35" s="20">
        <v>-6873.32</v>
      </c>
      <c r="I35" s="20">
        <v>-7018.03</v>
      </c>
      <c r="J35" s="20">
        <v>-7005.03</v>
      </c>
      <c r="K35" s="20">
        <v>-6974.44</v>
      </c>
      <c r="L35" s="20">
        <v>-7880.23</v>
      </c>
      <c r="M35" s="20">
        <v>-8365.73</v>
      </c>
      <c r="N35" s="20">
        <v>-7404.87</v>
      </c>
      <c r="O35" s="20">
        <v>-13766.91</v>
      </c>
      <c r="P35" s="20">
        <v>-1200</v>
      </c>
      <c r="Q35" s="20">
        <v>-7474.05</v>
      </c>
      <c r="R35" s="20">
        <v>-7458.04</v>
      </c>
      <c r="S35" s="20">
        <v>-8958.0400000000009</v>
      </c>
      <c r="T35" s="20">
        <v>-8963.34</v>
      </c>
      <c r="U35" s="20">
        <v>-9491.17</v>
      </c>
      <c r="V35" s="20">
        <v>-24486.13</v>
      </c>
      <c r="W35" s="20">
        <v>-3195.44</v>
      </c>
      <c r="X35" s="20">
        <v>-8678.57</v>
      </c>
      <c r="Y35" s="20">
        <v>-9678.57</v>
      </c>
      <c r="Z35" s="20">
        <v>-6428.57</v>
      </c>
      <c r="AA35" s="20">
        <v>-6443.79</v>
      </c>
      <c r="AB35" s="20">
        <v>-6432.44</v>
      </c>
      <c r="AC35" s="20">
        <v>-6411.33</v>
      </c>
      <c r="AD35" s="20">
        <v>-6218.99</v>
      </c>
      <c r="AE35" s="20">
        <v>-6411.33</v>
      </c>
      <c r="AF35" s="20">
        <v>-6411.33</v>
      </c>
      <c r="AG35" s="20">
        <f t="shared" si="0"/>
        <v>-223150.85</v>
      </c>
    </row>
    <row r="36" spans="1:33" x14ac:dyDescent="0.25">
      <c r="A36" s="19" t="s">
        <v>36</v>
      </c>
      <c r="B36" s="20">
        <v>0</v>
      </c>
      <c r="C36" s="20">
        <v>-390</v>
      </c>
      <c r="D36" s="20">
        <v>-390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>
        <f t="shared" si="0"/>
        <v>-780</v>
      </c>
    </row>
    <row r="37" spans="1:33" x14ac:dyDescent="0.25">
      <c r="A37" s="19" t="s">
        <v>37</v>
      </c>
      <c r="B37" s="20">
        <v>0</v>
      </c>
      <c r="C37" s="20">
        <v>0</v>
      </c>
      <c r="D37" s="20">
        <v>0</v>
      </c>
      <c r="E37" s="20">
        <v>-369</v>
      </c>
      <c r="F37" s="20">
        <v>-1841.18</v>
      </c>
      <c r="G37" s="20">
        <v>-1841.18</v>
      </c>
      <c r="H37" s="20">
        <v>-1841.18</v>
      </c>
      <c r="I37" s="20">
        <v>-1841.18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-1681.11</v>
      </c>
      <c r="T37" s="20">
        <v>0</v>
      </c>
      <c r="U37" s="20">
        <v>0</v>
      </c>
      <c r="V37" s="20">
        <v>0</v>
      </c>
      <c r="W37" s="20">
        <v>-5433.5</v>
      </c>
      <c r="X37" s="20">
        <v>-5759</v>
      </c>
      <c r="Y37" s="20">
        <v>-5759</v>
      </c>
      <c r="Z37" s="20">
        <v>-5778</v>
      </c>
      <c r="AA37" s="20">
        <v>-5788</v>
      </c>
      <c r="AB37" s="20">
        <v>-6015.2</v>
      </c>
      <c r="AC37" s="20">
        <v>-5787</v>
      </c>
      <c r="AD37" s="20">
        <v>-7280</v>
      </c>
      <c r="AE37" s="20">
        <v>-8759</v>
      </c>
      <c r="AF37" s="20">
        <v>-9422</v>
      </c>
      <c r="AG37" s="20">
        <f t="shared" si="0"/>
        <v>-65773.53</v>
      </c>
    </row>
    <row r="38" spans="1:33" x14ac:dyDescent="0.25">
      <c r="A38" s="19" t="s">
        <v>38</v>
      </c>
      <c r="B38" s="20">
        <v>-5.9</v>
      </c>
      <c r="C38" s="20">
        <v>-12.34</v>
      </c>
      <c r="D38" s="20">
        <v>-6.17</v>
      </c>
      <c r="E38" s="20">
        <v>-18.510000000000002</v>
      </c>
      <c r="F38" s="20">
        <v>-18.510000000000002</v>
      </c>
      <c r="G38" s="20">
        <v>-18.510000000000002</v>
      </c>
      <c r="H38" s="20">
        <v>0</v>
      </c>
      <c r="I38" s="20">
        <v>-34.700000000000003</v>
      </c>
      <c r="J38" s="20">
        <v>-13.88</v>
      </c>
      <c r="K38" s="20">
        <v>-13.88</v>
      </c>
      <c r="L38" s="20">
        <v>-13.88</v>
      </c>
      <c r="M38" s="20">
        <v>-13.88</v>
      </c>
      <c r="N38" s="20">
        <v>-14.48</v>
      </c>
      <c r="O38" s="20">
        <v>-14.48</v>
      </c>
      <c r="P38" s="20">
        <v>0</v>
      </c>
      <c r="Q38" s="20">
        <v>-28.96</v>
      </c>
      <c r="R38" s="20">
        <v>-14.48</v>
      </c>
      <c r="S38" s="20">
        <v>-21.72</v>
      </c>
      <c r="T38" s="20">
        <v>-14.48</v>
      </c>
      <c r="U38" s="20">
        <v>-14.48</v>
      </c>
      <c r="V38" s="20">
        <v>-21.72</v>
      </c>
      <c r="W38" s="20">
        <v>-21.72</v>
      </c>
      <c r="X38" s="20">
        <v>-21.72</v>
      </c>
      <c r="Y38" s="20">
        <v>-21.72</v>
      </c>
      <c r="Z38" s="20">
        <v>-27.18</v>
      </c>
      <c r="AA38" s="20">
        <v>-22.83</v>
      </c>
      <c r="AB38" s="20">
        <v>-27.18</v>
      </c>
      <c r="AC38" s="20">
        <v>-36.24</v>
      </c>
      <c r="AD38" s="20">
        <v>-54.36</v>
      </c>
      <c r="AE38" s="20">
        <v>-45.3</v>
      </c>
      <c r="AF38" s="20">
        <v>-45.3</v>
      </c>
      <c r="AG38" s="20">
        <f t="shared" si="0"/>
        <v>-593.21</v>
      </c>
    </row>
    <row r="39" spans="1:33" x14ac:dyDescent="0.25">
      <c r="A39" s="19" t="s">
        <v>39</v>
      </c>
      <c r="B39" s="20">
        <v>-12.74</v>
      </c>
      <c r="C39" s="20">
        <v>-29.24</v>
      </c>
      <c r="D39" s="20">
        <v>-29.24</v>
      </c>
      <c r="E39" s="20">
        <v>-29.24</v>
      </c>
      <c r="F39" s="20">
        <v>-29.24</v>
      </c>
      <c r="G39" s="20">
        <v>-29.24</v>
      </c>
      <c r="H39" s="20">
        <v>-29.24</v>
      </c>
      <c r="I39" s="20">
        <v>-29.24</v>
      </c>
      <c r="J39" s="20">
        <v>-29.24</v>
      </c>
      <c r="K39" s="20">
        <v>-29.24</v>
      </c>
      <c r="L39" s="20">
        <v>-29.24</v>
      </c>
      <c r="M39" s="20">
        <v>-29.82</v>
      </c>
      <c r="N39" s="20">
        <v>-16.5</v>
      </c>
      <c r="O39" s="20">
        <v>-17.29</v>
      </c>
      <c r="P39" s="20">
        <v>-17.29</v>
      </c>
      <c r="Q39" s="20">
        <v>-17.29</v>
      </c>
      <c r="R39" s="20">
        <v>-17.29</v>
      </c>
      <c r="S39" s="20">
        <v>-33.79</v>
      </c>
      <c r="T39" s="20">
        <v>-33.79</v>
      </c>
      <c r="U39" s="20">
        <v>-33.79</v>
      </c>
      <c r="V39" s="20">
        <v>-33.79</v>
      </c>
      <c r="W39" s="20">
        <v>-33.79</v>
      </c>
      <c r="X39" s="20">
        <v>-33.79</v>
      </c>
      <c r="Y39" s="20">
        <v>-33.79</v>
      </c>
      <c r="Z39" s="20">
        <v>-33.79</v>
      </c>
      <c r="AA39" s="20">
        <v>-16.5</v>
      </c>
      <c r="AB39" s="20">
        <v>-16.5</v>
      </c>
      <c r="AC39" s="20">
        <v>-16.5</v>
      </c>
      <c r="AD39" s="20">
        <v>0</v>
      </c>
      <c r="AE39" s="20"/>
      <c r="AF39" s="20"/>
      <c r="AG39" s="20">
        <f t="shared" si="0"/>
        <v>-740.43999999999994</v>
      </c>
    </row>
    <row r="40" spans="1:33" x14ac:dyDescent="0.25">
      <c r="A40" s="19" t="s">
        <v>40</v>
      </c>
      <c r="B40" s="20">
        <v>-300</v>
      </c>
      <c r="C40" s="20">
        <v>-1680</v>
      </c>
      <c r="D40" s="20">
        <v>-3075</v>
      </c>
      <c r="E40" s="20">
        <v>-2625</v>
      </c>
      <c r="F40" s="20">
        <v>-2500</v>
      </c>
      <c r="G40" s="20">
        <v>-2875</v>
      </c>
      <c r="H40" s="20">
        <v>-2625</v>
      </c>
      <c r="I40" s="20">
        <v>-2100</v>
      </c>
      <c r="J40" s="20">
        <v>-2315</v>
      </c>
      <c r="K40" s="20">
        <v>-1900</v>
      </c>
      <c r="L40" s="20">
        <v>-1350</v>
      </c>
      <c r="M40" s="20">
        <v>-1650</v>
      </c>
      <c r="N40" s="20">
        <v>-1650</v>
      </c>
      <c r="O40" s="20">
        <v>-1430</v>
      </c>
      <c r="P40" s="20">
        <v>-3300</v>
      </c>
      <c r="Q40" s="20">
        <v>-1732.5</v>
      </c>
      <c r="R40" s="20">
        <v>-3005</v>
      </c>
      <c r="S40" s="20">
        <v>-2502.5</v>
      </c>
      <c r="T40" s="20">
        <v>-3850</v>
      </c>
      <c r="U40" s="20">
        <v>-2420</v>
      </c>
      <c r="V40" s="20">
        <v>-4431.25</v>
      </c>
      <c r="W40" s="20">
        <v>-3073.75</v>
      </c>
      <c r="X40" s="20">
        <v>-2420</v>
      </c>
      <c r="Y40" s="20">
        <v>-2299</v>
      </c>
      <c r="Z40" s="20">
        <v>-2318</v>
      </c>
      <c r="AA40" s="20">
        <v>-2622</v>
      </c>
      <c r="AB40" s="20">
        <v>-2541</v>
      </c>
      <c r="AC40" s="20">
        <v>-3578.75</v>
      </c>
      <c r="AD40" s="20">
        <v>-3176.25</v>
      </c>
      <c r="AE40" s="20">
        <v>-3567</v>
      </c>
      <c r="AF40" s="20">
        <v>-3276.25</v>
      </c>
      <c r="AG40" s="20">
        <f t="shared" si="0"/>
        <v>-74912</v>
      </c>
    </row>
    <row r="41" spans="1:33" x14ac:dyDescent="0.25">
      <c r="A41" s="19" t="s">
        <v>41</v>
      </c>
      <c r="B41" s="20">
        <v>-496.7</v>
      </c>
      <c r="C41" s="20">
        <v>-975.2</v>
      </c>
      <c r="D41" s="20">
        <v>-1925.45</v>
      </c>
      <c r="E41" s="20">
        <v>-1657.35</v>
      </c>
      <c r="F41" s="20">
        <v>-1604</v>
      </c>
      <c r="G41" s="20">
        <v>-1753.55</v>
      </c>
      <c r="H41" s="20">
        <v>-1657.35</v>
      </c>
      <c r="I41" s="20">
        <v>-1452.1</v>
      </c>
      <c r="J41" s="20">
        <v>-1553.55</v>
      </c>
      <c r="K41" s="20">
        <v>-1355.9</v>
      </c>
      <c r="L41" s="20">
        <v>-1075.95</v>
      </c>
      <c r="M41" s="20">
        <v>-1227.2</v>
      </c>
      <c r="N41" s="20">
        <v>-1206.3</v>
      </c>
      <c r="O41" s="20">
        <v>-1040.0999999999999</v>
      </c>
      <c r="P41" s="20">
        <v>-1058.2</v>
      </c>
      <c r="Q41" s="20">
        <v>-1166.2</v>
      </c>
      <c r="R41" s="20">
        <v>-1868.6</v>
      </c>
      <c r="S41" s="20">
        <v>-1471.4</v>
      </c>
      <c r="T41" s="20">
        <v>-1212.5999999999999</v>
      </c>
      <c r="U41" s="20">
        <v>-1413.9</v>
      </c>
      <c r="V41" s="20">
        <v>-2493.6</v>
      </c>
      <c r="W41" s="20">
        <v>-1623.6</v>
      </c>
      <c r="X41" s="20">
        <v>-1384.6</v>
      </c>
      <c r="Y41" s="20">
        <v>-1208</v>
      </c>
      <c r="Z41" s="20">
        <v>-1281</v>
      </c>
      <c r="AA41" s="20">
        <v>-1393.6</v>
      </c>
      <c r="AB41" s="20">
        <v>-1505.1</v>
      </c>
      <c r="AC41" s="20">
        <v>-2471.6999999999998</v>
      </c>
      <c r="AD41" s="20">
        <v>-2646</v>
      </c>
      <c r="AE41" s="20">
        <v>-3001.8</v>
      </c>
      <c r="AF41" s="20">
        <v>-2289.8000000000002</v>
      </c>
      <c r="AG41" s="20">
        <f t="shared" si="0"/>
        <v>-46180.599999999991</v>
      </c>
    </row>
    <row r="42" spans="1:33" s="6" customFormat="1" ht="15.75" x14ac:dyDescent="0.25">
      <c r="A42" s="17" t="s">
        <v>149</v>
      </c>
      <c r="B42" s="18">
        <v>-3610.16</v>
      </c>
      <c r="C42" s="18">
        <v>-8820.84</v>
      </c>
      <c r="D42" s="18">
        <v>-4777.88</v>
      </c>
      <c r="E42" s="18">
        <v>-7317.8</v>
      </c>
      <c r="F42" s="18">
        <v>-3926.28</v>
      </c>
      <c r="G42" s="18">
        <v>-3706.97</v>
      </c>
      <c r="H42" s="18">
        <v>-3701.11</v>
      </c>
      <c r="I42" s="18">
        <v>-3741.83</v>
      </c>
      <c r="J42" s="18">
        <v>-3695.11</v>
      </c>
      <c r="K42" s="18">
        <v>-3702.61</v>
      </c>
      <c r="L42" s="18">
        <v>-4243.51</v>
      </c>
      <c r="M42" s="18">
        <v>-3774.71</v>
      </c>
      <c r="N42" s="18">
        <v>-4708.57</v>
      </c>
      <c r="O42" s="18">
        <v>-5104.8500000000004</v>
      </c>
      <c r="P42" s="18">
        <v>-2535.5700000000002</v>
      </c>
      <c r="Q42" s="18">
        <v>-3837.04</v>
      </c>
      <c r="R42" s="18">
        <v>-3931.36</v>
      </c>
      <c r="S42" s="18">
        <v>-3905.25</v>
      </c>
      <c r="T42" s="18">
        <v>-4270.74</v>
      </c>
      <c r="U42" s="18">
        <v>-3859.29</v>
      </c>
      <c r="V42" s="18">
        <v>-3880.33</v>
      </c>
      <c r="W42" s="18">
        <v>-4867.1499999999996</v>
      </c>
      <c r="X42" s="18">
        <v>-2918.15</v>
      </c>
      <c r="Y42" s="18">
        <v>-3881.68</v>
      </c>
      <c r="Z42" s="18">
        <v>-3830.75</v>
      </c>
      <c r="AA42" s="18">
        <v>-4497.3</v>
      </c>
      <c r="AB42" s="18">
        <v>-3929.95</v>
      </c>
      <c r="AC42" s="18">
        <v>-5853.61</v>
      </c>
      <c r="AD42" s="18">
        <v>-5849.44</v>
      </c>
      <c r="AE42" s="18">
        <v>-5596.61</v>
      </c>
      <c r="AF42" s="18">
        <v>-7610.38</v>
      </c>
      <c r="AG42" s="18">
        <f t="shared" si="0"/>
        <v>-132276.44999999998</v>
      </c>
    </row>
    <row r="43" spans="1:33" s="7" customFormat="1" x14ac:dyDescent="0.25">
      <c r="A43" s="21" t="s">
        <v>153</v>
      </c>
      <c r="B43" s="22">
        <v>0</v>
      </c>
      <c r="C43" s="22">
        <v>-4755</v>
      </c>
      <c r="D43" s="22">
        <v>0</v>
      </c>
      <c r="E43" s="22">
        <v>0</v>
      </c>
      <c r="F43" s="22">
        <v>-154.1</v>
      </c>
      <c r="G43" s="22">
        <v>0</v>
      </c>
      <c r="H43" s="22">
        <v>-6</v>
      </c>
      <c r="I43" s="22">
        <v>0</v>
      </c>
      <c r="J43" s="22">
        <v>0</v>
      </c>
      <c r="K43" s="22">
        <v>-7.5</v>
      </c>
      <c r="L43" s="22">
        <v>-9</v>
      </c>
      <c r="M43" s="22">
        <v>-79.599999999999994</v>
      </c>
      <c r="N43" s="22">
        <v>0</v>
      </c>
      <c r="O43" s="22">
        <v>-138</v>
      </c>
      <c r="P43" s="22">
        <v>0</v>
      </c>
      <c r="Q43" s="22">
        <v>0</v>
      </c>
      <c r="R43" s="22">
        <v>-166.2</v>
      </c>
      <c r="S43" s="22">
        <v>-63.52</v>
      </c>
      <c r="T43" s="22">
        <v>0</v>
      </c>
      <c r="U43" s="22">
        <v>0</v>
      </c>
      <c r="V43" s="22">
        <v>-7</v>
      </c>
      <c r="W43" s="22">
        <v>-26.4</v>
      </c>
      <c r="X43" s="22">
        <v>-19.5</v>
      </c>
      <c r="Y43" s="22">
        <v>0</v>
      </c>
      <c r="Z43" s="22">
        <v>0</v>
      </c>
      <c r="AA43" s="22">
        <v>0</v>
      </c>
      <c r="AB43" s="22">
        <v>0</v>
      </c>
      <c r="AC43" s="22">
        <v>-7</v>
      </c>
      <c r="AD43" s="22">
        <v>-178.98</v>
      </c>
      <c r="AE43" s="22"/>
      <c r="AF43" s="22">
        <v>-7</v>
      </c>
      <c r="AG43" s="22">
        <f t="shared" si="0"/>
        <v>-5617.8</v>
      </c>
    </row>
    <row r="44" spans="1:33" x14ac:dyDescent="0.25">
      <c r="A44" s="19" t="s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-63.52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/>
      <c r="AA44" s="20"/>
      <c r="AB44" s="20"/>
      <c r="AC44" s="20"/>
      <c r="AD44" s="20"/>
      <c r="AE44" s="20"/>
      <c r="AF44" s="20"/>
      <c r="AG44" s="20">
        <f t="shared" si="0"/>
        <v>-63.52</v>
      </c>
    </row>
    <row r="45" spans="1:33" x14ac:dyDescent="0.25">
      <c r="A45" s="19" t="s">
        <v>43</v>
      </c>
      <c r="B45" s="20">
        <v>0</v>
      </c>
      <c r="C45" s="20">
        <v>-4755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-79.599999999999994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>
        <f t="shared" si="0"/>
        <v>-4834.6000000000004</v>
      </c>
    </row>
    <row r="46" spans="1:33" x14ac:dyDescent="0.25">
      <c r="A46" s="19" t="s">
        <v>44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-6</v>
      </c>
      <c r="I46" s="20">
        <v>0</v>
      </c>
      <c r="J46" s="20">
        <v>0</v>
      </c>
      <c r="K46" s="20">
        <v>-7.5</v>
      </c>
      <c r="L46" s="20">
        <v>-9</v>
      </c>
      <c r="M46" s="20">
        <v>0</v>
      </c>
      <c r="N46" s="20">
        <v>0</v>
      </c>
      <c r="O46" s="20">
        <v>-138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-7</v>
      </c>
      <c r="W46" s="20">
        <v>-26.4</v>
      </c>
      <c r="X46" s="20">
        <v>-19.5</v>
      </c>
      <c r="Y46" s="20">
        <v>0</v>
      </c>
      <c r="Z46" s="20">
        <v>0</v>
      </c>
      <c r="AA46" s="20">
        <v>0</v>
      </c>
      <c r="AB46" s="20">
        <v>0</v>
      </c>
      <c r="AC46" s="20">
        <v>-7</v>
      </c>
      <c r="AD46" s="20">
        <v>-10.5</v>
      </c>
      <c r="AE46" s="20"/>
      <c r="AF46" s="20">
        <v>-7</v>
      </c>
      <c r="AG46" s="20">
        <f t="shared" si="0"/>
        <v>-230.9</v>
      </c>
    </row>
    <row r="47" spans="1:33" x14ac:dyDescent="0.25">
      <c r="A47" s="19" t="s">
        <v>45</v>
      </c>
      <c r="B47" s="20">
        <v>0</v>
      </c>
      <c r="C47" s="20">
        <v>0</v>
      </c>
      <c r="D47" s="20">
        <v>0</v>
      </c>
      <c r="E47" s="20">
        <v>0</v>
      </c>
      <c r="F47" s="20">
        <v>-154.1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-166.2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-168.48</v>
      </c>
      <c r="AE47" s="20"/>
      <c r="AF47" s="20"/>
      <c r="AG47" s="20">
        <f t="shared" si="0"/>
        <v>-488.78</v>
      </c>
    </row>
    <row r="48" spans="1:33" s="7" customFormat="1" x14ac:dyDescent="0.25">
      <c r="A48" s="21" t="s">
        <v>154</v>
      </c>
      <c r="B48" s="22">
        <v>-2435.36</v>
      </c>
      <c r="C48" s="22">
        <v>-2435.36</v>
      </c>
      <c r="D48" s="22">
        <v>-3435.36</v>
      </c>
      <c r="E48" s="22">
        <v>-5964.72</v>
      </c>
      <c r="F48" s="22">
        <v>-2438.4299999999998</v>
      </c>
      <c r="G48" s="22">
        <v>-2438.4299999999998</v>
      </c>
      <c r="H48" s="22">
        <v>-2438.4299999999998</v>
      </c>
      <c r="I48" s="22">
        <v>-2438.4299999999998</v>
      </c>
      <c r="J48" s="22">
        <v>-2438.4299999999998</v>
      </c>
      <c r="K48" s="22">
        <v>-2438.4299999999998</v>
      </c>
      <c r="L48" s="22">
        <v>-2977.83</v>
      </c>
      <c r="M48" s="22">
        <v>-2438.4299999999998</v>
      </c>
      <c r="N48" s="22">
        <v>-3438.43</v>
      </c>
      <c r="O48" s="22">
        <v>-1438.43</v>
      </c>
      <c r="P48" s="22">
        <v>-2489.37</v>
      </c>
      <c r="Q48" s="22">
        <v>-2442.19</v>
      </c>
      <c r="R48" s="22">
        <v>-2397</v>
      </c>
      <c r="S48" s="22">
        <v>-2479.75</v>
      </c>
      <c r="T48" s="22">
        <v>-2479.75</v>
      </c>
      <c r="U48" s="22">
        <v>-2479.75</v>
      </c>
      <c r="V48" s="22">
        <v>-2479.75</v>
      </c>
      <c r="W48" s="22">
        <v>-3479.75</v>
      </c>
      <c r="X48" s="22">
        <v>-1479.75</v>
      </c>
      <c r="Y48" s="22">
        <v>-2479.75</v>
      </c>
      <c r="Z48" s="22">
        <v>-2479.75</v>
      </c>
      <c r="AA48" s="22">
        <v>-2486.9499999999998</v>
      </c>
      <c r="AB48" s="22">
        <v>-2486.9499999999998</v>
      </c>
      <c r="AC48" s="22">
        <v>-4403.6099999999997</v>
      </c>
      <c r="AD48" s="22">
        <v>-4153.6099999999997</v>
      </c>
      <c r="AE48" s="22">
        <v>-4153.6099999999997</v>
      </c>
      <c r="AF48" s="22">
        <v>-5903.62</v>
      </c>
      <c r="AG48" s="22">
        <f t="shared" si="0"/>
        <v>-84045.79</v>
      </c>
    </row>
    <row r="49" spans="1:33" x14ac:dyDescent="0.25">
      <c r="A49" s="19" t="s">
        <v>46</v>
      </c>
      <c r="B49" s="20">
        <v>-2435.36</v>
      </c>
      <c r="C49" s="20">
        <v>-2435.36</v>
      </c>
      <c r="D49" s="20">
        <v>-3435.36</v>
      </c>
      <c r="E49" s="20">
        <v>-2438.4299999999998</v>
      </c>
      <c r="F49" s="20">
        <v>-2438.4299999999998</v>
      </c>
      <c r="G49" s="20">
        <v>-2438.4299999999998</v>
      </c>
      <c r="H49" s="20">
        <v>-2438.4299999999998</v>
      </c>
      <c r="I49" s="20">
        <v>-2438.4299999999998</v>
      </c>
      <c r="J49" s="20">
        <v>-2438.4299999999998</v>
      </c>
      <c r="K49" s="20">
        <v>-2438.4299999999998</v>
      </c>
      <c r="L49" s="20">
        <v>-2977.83</v>
      </c>
      <c r="M49" s="20">
        <v>-2438.4299999999998</v>
      </c>
      <c r="N49" s="20">
        <v>-3438.43</v>
      </c>
      <c r="O49" s="20">
        <v>-1438.43</v>
      </c>
      <c r="P49" s="20">
        <v>-2489.37</v>
      </c>
      <c r="Q49" s="20">
        <v>-2442.19</v>
      </c>
      <c r="R49" s="20">
        <v>-2397</v>
      </c>
      <c r="S49" s="20">
        <v>-2479.75</v>
      </c>
      <c r="T49" s="20">
        <v>-2479.75</v>
      </c>
      <c r="U49" s="20">
        <v>-2479.75</v>
      </c>
      <c r="V49" s="20">
        <v>-2479.75</v>
      </c>
      <c r="W49" s="20">
        <v>-3479.75</v>
      </c>
      <c r="X49" s="20">
        <v>-1479.75</v>
      </c>
      <c r="Y49" s="20">
        <v>-2479.75</v>
      </c>
      <c r="Z49" s="20">
        <v>-2479.75</v>
      </c>
      <c r="AA49" s="20">
        <v>-2486.9499999999998</v>
      </c>
      <c r="AB49" s="20">
        <v>-2486.9499999999998</v>
      </c>
      <c r="AC49" s="20">
        <v>-4403.6099999999997</v>
      </c>
      <c r="AD49" s="20">
        <v>-4153.6099999999997</v>
      </c>
      <c r="AE49" s="20">
        <v>-4153.6099999999997</v>
      </c>
      <c r="AF49" s="20">
        <v>-5903.62</v>
      </c>
      <c r="AG49" s="20">
        <f t="shared" si="0"/>
        <v>-80519.5</v>
      </c>
    </row>
    <row r="50" spans="1:33" x14ac:dyDescent="0.25">
      <c r="A50" s="19" t="s">
        <v>47</v>
      </c>
      <c r="B50" s="20">
        <v>0</v>
      </c>
      <c r="C50" s="20">
        <v>0</v>
      </c>
      <c r="D50" s="20">
        <v>0</v>
      </c>
      <c r="E50" s="20">
        <v>-3526.29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>
        <f t="shared" si="0"/>
        <v>-3526.29</v>
      </c>
    </row>
    <row r="51" spans="1:33" s="7" customFormat="1" x14ac:dyDescent="0.25">
      <c r="A51" s="21" t="s">
        <v>155</v>
      </c>
      <c r="B51" s="22">
        <v>-1174.8</v>
      </c>
      <c r="C51" s="22">
        <v>-1615.78</v>
      </c>
      <c r="D51" s="22">
        <v>-1256.68</v>
      </c>
      <c r="E51" s="22">
        <v>-1256.68</v>
      </c>
      <c r="F51" s="22">
        <v>-1256.68</v>
      </c>
      <c r="G51" s="22">
        <v>-1256.68</v>
      </c>
      <c r="H51" s="22">
        <v>-1256.68</v>
      </c>
      <c r="I51" s="22">
        <v>-1256.68</v>
      </c>
      <c r="J51" s="22">
        <v>-1256.68</v>
      </c>
      <c r="K51" s="22">
        <v>-1256.68</v>
      </c>
      <c r="L51" s="22">
        <v>-1256.68</v>
      </c>
      <c r="M51" s="22">
        <v>-1256.68</v>
      </c>
      <c r="N51" s="22">
        <v>-1256.68</v>
      </c>
      <c r="O51" s="22">
        <v>-3489.24</v>
      </c>
      <c r="P51" s="22">
        <v>-22</v>
      </c>
      <c r="Q51" s="22">
        <v>-1351.02</v>
      </c>
      <c r="R51" s="22">
        <v>-1351.02</v>
      </c>
      <c r="S51" s="22">
        <v>-1351.02</v>
      </c>
      <c r="T51" s="22">
        <v>-1374.92</v>
      </c>
      <c r="U51" s="22">
        <v>-1351.02</v>
      </c>
      <c r="V51" s="22">
        <v>-1393.58</v>
      </c>
      <c r="W51" s="22">
        <v>-1361</v>
      </c>
      <c r="X51" s="22">
        <v>-1401.96</v>
      </c>
      <c r="Y51" s="22">
        <v>-1351</v>
      </c>
      <c r="Z51" s="22">
        <v>-1351</v>
      </c>
      <c r="AA51" s="22">
        <v>-2010.35</v>
      </c>
      <c r="AB51" s="22">
        <v>-1443</v>
      </c>
      <c r="AC51" s="22">
        <v>-1443</v>
      </c>
      <c r="AD51" s="22">
        <v>-1476.97</v>
      </c>
      <c r="AE51" s="22">
        <v>-1443</v>
      </c>
      <c r="AF51" s="22">
        <v>-1598.8</v>
      </c>
      <c r="AG51" s="22">
        <f t="shared" si="0"/>
        <v>-41579.160000000003</v>
      </c>
    </row>
    <row r="52" spans="1:33" x14ac:dyDescent="0.25">
      <c r="A52" s="19" t="s">
        <v>48</v>
      </c>
      <c r="B52" s="20">
        <v>0</v>
      </c>
      <c r="C52" s="20">
        <v>-359.1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-787.2</v>
      </c>
      <c r="P52" s="20">
        <v>-22</v>
      </c>
      <c r="Q52" s="20">
        <v>0</v>
      </c>
      <c r="R52" s="20">
        <v>0</v>
      </c>
      <c r="S52" s="20">
        <v>0</v>
      </c>
      <c r="T52" s="20">
        <v>-23.9</v>
      </c>
      <c r="U52" s="20">
        <v>0</v>
      </c>
      <c r="V52" s="20">
        <v>-42.56</v>
      </c>
      <c r="W52" s="20">
        <v>-9.98</v>
      </c>
      <c r="X52" s="20">
        <v>-49.96</v>
      </c>
      <c r="Y52" s="20">
        <v>0</v>
      </c>
      <c r="Z52" s="20">
        <v>0</v>
      </c>
      <c r="AA52" s="20">
        <v>-568.35</v>
      </c>
      <c r="AB52" s="20">
        <v>0</v>
      </c>
      <c r="AC52" s="20">
        <v>0</v>
      </c>
      <c r="AD52" s="20">
        <v>-34.97</v>
      </c>
      <c r="AE52" s="20"/>
      <c r="AF52" s="20">
        <v>-155.80000000000001</v>
      </c>
      <c r="AG52" s="20">
        <f t="shared" si="0"/>
        <v>-1898.0200000000002</v>
      </c>
    </row>
    <row r="53" spans="1:33" x14ac:dyDescent="0.25">
      <c r="A53" s="19" t="s">
        <v>49</v>
      </c>
      <c r="B53" s="20">
        <v>-1174.8</v>
      </c>
      <c r="C53" s="20">
        <v>-1256.68</v>
      </c>
      <c r="D53" s="20">
        <v>-1256.68</v>
      </c>
      <c r="E53" s="20">
        <v>-1256.68</v>
      </c>
      <c r="F53" s="20">
        <v>-1256.68</v>
      </c>
      <c r="G53" s="20">
        <v>-1256.68</v>
      </c>
      <c r="H53" s="20">
        <v>-1256.68</v>
      </c>
      <c r="I53" s="20">
        <v>-1256.68</v>
      </c>
      <c r="J53" s="20">
        <v>-1256.68</v>
      </c>
      <c r="K53" s="20">
        <v>-1256.68</v>
      </c>
      <c r="L53" s="20">
        <v>-1256.68</v>
      </c>
      <c r="M53" s="20">
        <v>-1256.68</v>
      </c>
      <c r="N53" s="20">
        <v>-1256.68</v>
      </c>
      <c r="O53" s="20">
        <v>-2702.04</v>
      </c>
      <c r="P53" s="20">
        <v>0</v>
      </c>
      <c r="Q53" s="20">
        <v>-1351.02</v>
      </c>
      <c r="R53" s="20">
        <v>-1351.02</v>
      </c>
      <c r="S53" s="20">
        <v>-1351.02</v>
      </c>
      <c r="T53" s="20">
        <v>-1351.02</v>
      </c>
      <c r="U53" s="20">
        <v>-1351.02</v>
      </c>
      <c r="V53" s="20">
        <v>-1351.02</v>
      </c>
      <c r="W53" s="20">
        <v>-1351.02</v>
      </c>
      <c r="X53" s="20">
        <v>-1352</v>
      </c>
      <c r="Y53" s="20">
        <v>-1351</v>
      </c>
      <c r="Z53" s="20">
        <v>-1351</v>
      </c>
      <c r="AA53" s="20">
        <v>-1442</v>
      </c>
      <c r="AB53" s="20">
        <v>-1443</v>
      </c>
      <c r="AC53" s="20">
        <v>-1443</v>
      </c>
      <c r="AD53" s="20">
        <v>-1442</v>
      </c>
      <c r="AE53" s="20">
        <v>-1443</v>
      </c>
      <c r="AF53" s="20">
        <v>-1443</v>
      </c>
      <c r="AG53" s="20">
        <f t="shared" si="0"/>
        <v>-39681.140000000007</v>
      </c>
    </row>
    <row r="54" spans="1:33" s="7" customFormat="1" x14ac:dyDescent="0.25">
      <c r="A54" s="21" t="s">
        <v>156</v>
      </c>
      <c r="B54" s="22">
        <v>0</v>
      </c>
      <c r="C54" s="22">
        <v>-14.7</v>
      </c>
      <c r="D54" s="22">
        <v>-85.84</v>
      </c>
      <c r="E54" s="22">
        <v>-96.4</v>
      </c>
      <c r="F54" s="22">
        <v>-77.069999999999993</v>
      </c>
      <c r="G54" s="22">
        <v>-11.86</v>
      </c>
      <c r="H54" s="22">
        <v>0</v>
      </c>
      <c r="I54" s="22">
        <v>-46.72</v>
      </c>
      <c r="J54" s="22">
        <v>0</v>
      </c>
      <c r="K54" s="22">
        <v>0</v>
      </c>
      <c r="L54" s="22">
        <v>0</v>
      </c>
      <c r="M54" s="22">
        <v>0</v>
      </c>
      <c r="N54" s="22">
        <v>-13.46</v>
      </c>
      <c r="O54" s="22">
        <v>-39.18</v>
      </c>
      <c r="P54" s="22">
        <v>-24.2</v>
      </c>
      <c r="Q54" s="22">
        <v>-43.83</v>
      </c>
      <c r="R54" s="22">
        <v>-17.14</v>
      </c>
      <c r="S54" s="22">
        <v>-10.96</v>
      </c>
      <c r="T54" s="22">
        <v>-416.07</v>
      </c>
      <c r="U54" s="22">
        <v>-28.52</v>
      </c>
      <c r="V54" s="22">
        <v>0</v>
      </c>
      <c r="W54" s="22">
        <v>0</v>
      </c>
      <c r="X54" s="22">
        <v>-16.940000000000001</v>
      </c>
      <c r="Y54" s="22">
        <v>-50.93</v>
      </c>
      <c r="Z54" s="22">
        <v>0</v>
      </c>
      <c r="AA54" s="22">
        <v>0</v>
      </c>
      <c r="AB54" s="22">
        <v>0</v>
      </c>
      <c r="AC54" s="22">
        <v>0</v>
      </c>
      <c r="AD54" s="22">
        <v>-39.880000000000003</v>
      </c>
      <c r="AE54" s="22"/>
      <c r="AF54" s="22">
        <v>-100.96</v>
      </c>
      <c r="AG54" s="22">
        <f t="shared" si="0"/>
        <v>-1033.7</v>
      </c>
    </row>
    <row r="55" spans="1:33" x14ac:dyDescent="0.25">
      <c r="A55" s="19" t="s">
        <v>50</v>
      </c>
      <c r="B55" s="20">
        <v>0</v>
      </c>
      <c r="C55" s="20">
        <v>-14.7</v>
      </c>
      <c r="D55" s="20">
        <v>-85.84</v>
      </c>
      <c r="E55" s="20">
        <v>-96.4</v>
      </c>
      <c r="F55" s="20">
        <v>-77.069999999999993</v>
      </c>
      <c r="G55" s="20">
        <v>-11.86</v>
      </c>
      <c r="H55" s="20">
        <v>0</v>
      </c>
      <c r="I55" s="20">
        <v>-46.72</v>
      </c>
      <c r="J55" s="20">
        <v>0</v>
      </c>
      <c r="K55" s="20">
        <v>0</v>
      </c>
      <c r="L55" s="20">
        <v>0</v>
      </c>
      <c r="M55" s="20">
        <v>0</v>
      </c>
      <c r="N55" s="20">
        <v>-13.46</v>
      </c>
      <c r="O55" s="20">
        <v>-39.18</v>
      </c>
      <c r="P55" s="20">
        <v>-24.2</v>
      </c>
      <c r="Q55" s="20">
        <v>-43.83</v>
      </c>
      <c r="R55" s="20">
        <v>-17.14</v>
      </c>
      <c r="S55" s="20">
        <v>-10.96</v>
      </c>
      <c r="T55" s="20">
        <v>-416.07</v>
      </c>
      <c r="U55" s="20">
        <v>-28.52</v>
      </c>
      <c r="V55" s="20">
        <v>0</v>
      </c>
      <c r="W55" s="20">
        <v>0</v>
      </c>
      <c r="X55" s="20">
        <v>-16.940000000000001</v>
      </c>
      <c r="Y55" s="20">
        <v>-50.93</v>
      </c>
      <c r="Z55" s="20">
        <v>0</v>
      </c>
      <c r="AA55" s="20">
        <v>0</v>
      </c>
      <c r="AB55" s="20">
        <v>0</v>
      </c>
      <c r="AC55" s="20">
        <v>0</v>
      </c>
      <c r="AD55" s="20">
        <v>-39.880000000000003</v>
      </c>
      <c r="AE55" s="20"/>
      <c r="AF55" s="20">
        <v>-100.96</v>
      </c>
      <c r="AG55" s="20">
        <f t="shared" si="0"/>
        <v>-1033.7</v>
      </c>
    </row>
    <row r="56" spans="1:33" s="6" customFormat="1" ht="15.75" x14ac:dyDescent="0.25">
      <c r="A56" s="17" t="s">
        <v>157</v>
      </c>
      <c r="B56" s="18">
        <v>-44.08</v>
      </c>
      <c r="C56" s="18">
        <v>-41.9</v>
      </c>
      <c r="D56" s="18">
        <v>-41.9</v>
      </c>
      <c r="E56" s="18">
        <v>0</v>
      </c>
      <c r="F56" s="18">
        <v>0</v>
      </c>
      <c r="G56" s="18">
        <v>0</v>
      </c>
      <c r="H56" s="18">
        <v>0</v>
      </c>
      <c r="I56" s="18">
        <v>-35.96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-15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-100</v>
      </c>
      <c r="AB56" s="18">
        <v>0</v>
      </c>
      <c r="AC56" s="18">
        <v>0</v>
      </c>
      <c r="AD56" s="18">
        <v>0</v>
      </c>
      <c r="AE56" s="18"/>
      <c r="AF56" s="18"/>
      <c r="AG56" s="18">
        <f t="shared" si="0"/>
        <v>-278.84000000000003</v>
      </c>
    </row>
    <row r="57" spans="1:33" x14ac:dyDescent="0.25">
      <c r="A57" s="19" t="s">
        <v>51</v>
      </c>
      <c r="B57" s="20">
        <v>-2.1800000000000002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-35.96</v>
      </c>
      <c r="J57" s="20">
        <v>0</v>
      </c>
      <c r="K57" s="20">
        <v>0</v>
      </c>
      <c r="L57" s="20">
        <v>0</v>
      </c>
      <c r="M57" s="20">
        <v>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>
        <f t="shared" si="0"/>
        <v>-38.14</v>
      </c>
    </row>
    <row r="58" spans="1:33" x14ac:dyDescent="0.25">
      <c r="A58" s="19" t="s">
        <v>52</v>
      </c>
      <c r="B58" s="20">
        <v>-41.9</v>
      </c>
      <c r="C58" s="20">
        <v>-41.9</v>
      </c>
      <c r="D58" s="20">
        <v>-41.9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-15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-100</v>
      </c>
      <c r="AB58" s="20">
        <v>0</v>
      </c>
      <c r="AC58" s="20">
        <v>0</v>
      </c>
      <c r="AD58" s="20">
        <v>0</v>
      </c>
      <c r="AE58" s="20"/>
      <c r="AF58" s="20"/>
      <c r="AG58" s="20">
        <f t="shared" si="0"/>
        <v>-240.7</v>
      </c>
    </row>
    <row r="59" spans="1:33" s="6" customFormat="1" ht="15.75" x14ac:dyDescent="0.25">
      <c r="A59" s="17" t="s">
        <v>158</v>
      </c>
      <c r="B59" s="18">
        <v>0</v>
      </c>
      <c r="C59" s="18">
        <v>0</v>
      </c>
      <c r="D59" s="18">
        <v>0</v>
      </c>
      <c r="E59" s="18">
        <v>-1243.04</v>
      </c>
      <c r="F59" s="18">
        <v>-1243.04</v>
      </c>
      <c r="G59" s="18">
        <v>-1243.04</v>
      </c>
      <c r="H59" s="18">
        <v>-1243.04</v>
      </c>
      <c r="I59" s="18">
        <v>-1243.04</v>
      </c>
      <c r="J59" s="18">
        <v>-1243.04</v>
      </c>
      <c r="K59" s="18">
        <v>-1243.04</v>
      </c>
      <c r="L59" s="18">
        <v>-1243.04</v>
      </c>
      <c r="M59" s="18">
        <v>-1243.04</v>
      </c>
      <c r="N59" s="18">
        <v>-1243.04</v>
      </c>
      <c r="O59" s="18">
        <v>-1243.04</v>
      </c>
      <c r="P59" s="18">
        <v>-1242.99</v>
      </c>
      <c r="Q59" s="18">
        <v>-184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-2900.04</v>
      </c>
      <c r="X59" s="18">
        <v>-2900.04</v>
      </c>
      <c r="Y59" s="18">
        <v>-2963.94</v>
      </c>
      <c r="Z59" s="18">
        <v>-2963.94</v>
      </c>
      <c r="AA59" s="18">
        <v>-2963.94</v>
      </c>
      <c r="AB59" s="18">
        <v>-2963.95</v>
      </c>
      <c r="AC59" s="18">
        <v>-2323.91</v>
      </c>
      <c r="AD59" s="18">
        <v>-2323.91</v>
      </c>
      <c r="AE59" s="18">
        <v>-2698.41</v>
      </c>
      <c r="AF59" s="18">
        <v>-2698.41</v>
      </c>
      <c r="AG59" s="18">
        <f t="shared" si="0"/>
        <v>-40102.510000000009</v>
      </c>
    </row>
    <row r="60" spans="1:33" x14ac:dyDescent="0.25">
      <c r="A60" s="19" t="s">
        <v>53</v>
      </c>
      <c r="B60" s="20">
        <v>0</v>
      </c>
      <c r="C60" s="20">
        <v>0</v>
      </c>
      <c r="D60" s="20">
        <v>0</v>
      </c>
      <c r="E60" s="20">
        <v>-1243.04</v>
      </c>
      <c r="F60" s="20">
        <v>-1243.04</v>
      </c>
      <c r="G60" s="20">
        <v>-1243.04</v>
      </c>
      <c r="H60" s="20">
        <v>-1243.04</v>
      </c>
      <c r="I60" s="20">
        <v>-1243.04</v>
      </c>
      <c r="J60" s="20">
        <v>-1243.04</v>
      </c>
      <c r="K60" s="20">
        <v>-1243.04</v>
      </c>
      <c r="L60" s="20">
        <v>-1243.04</v>
      </c>
      <c r="M60" s="20">
        <v>-1243.04</v>
      </c>
      <c r="N60" s="20">
        <v>-1243.04</v>
      </c>
      <c r="O60" s="20">
        <v>-1243.04</v>
      </c>
      <c r="P60" s="20">
        <v>-1242.99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-2900.04</v>
      </c>
      <c r="X60" s="20">
        <v>-2900.04</v>
      </c>
      <c r="Y60" s="20">
        <v>-2900.04</v>
      </c>
      <c r="Z60" s="20">
        <v>-2900.04</v>
      </c>
      <c r="AA60" s="20">
        <v>-2900.04</v>
      </c>
      <c r="AB60" s="20">
        <v>-2900.05</v>
      </c>
      <c r="AC60" s="20">
        <v>-2260.0100000000002</v>
      </c>
      <c r="AD60" s="20">
        <v>-2260.0100000000002</v>
      </c>
      <c r="AE60" s="20">
        <v>-2634.51</v>
      </c>
      <c r="AF60" s="20">
        <v>-2634.51</v>
      </c>
      <c r="AG60" s="20">
        <f t="shared" si="0"/>
        <v>-39471.210000000006</v>
      </c>
    </row>
    <row r="61" spans="1:33" x14ac:dyDescent="0.25">
      <c r="A61" s="19" t="s">
        <v>54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>
        <v>0</v>
      </c>
      <c r="O61" s="20">
        <v>0</v>
      </c>
      <c r="P61" s="20">
        <v>0</v>
      </c>
      <c r="Q61" s="20">
        <v>-184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/>
      <c r="AA61" s="20"/>
      <c r="AB61" s="20"/>
      <c r="AC61" s="20"/>
      <c r="AD61" s="20"/>
      <c r="AE61" s="20"/>
      <c r="AF61" s="20"/>
      <c r="AG61" s="20">
        <f t="shared" si="0"/>
        <v>-184</v>
      </c>
    </row>
    <row r="62" spans="1:33" x14ac:dyDescent="0.25">
      <c r="A62" s="19" t="s">
        <v>55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-63.9</v>
      </c>
      <c r="Z62" s="20">
        <v>-63.9</v>
      </c>
      <c r="AA62" s="20">
        <v>-63.9</v>
      </c>
      <c r="AB62" s="20">
        <v>-63.9</v>
      </c>
      <c r="AC62" s="20">
        <v>-63.9</v>
      </c>
      <c r="AD62" s="20">
        <v>-63.9</v>
      </c>
      <c r="AE62" s="20">
        <v>-63.9</v>
      </c>
      <c r="AF62" s="20">
        <v>-63.9</v>
      </c>
      <c r="AG62" s="20">
        <f t="shared" si="0"/>
        <v>-447.29999999999995</v>
      </c>
    </row>
    <row r="63" spans="1:33" s="6" customFormat="1" ht="15.75" x14ac:dyDescent="0.25">
      <c r="A63" s="17" t="s">
        <v>159</v>
      </c>
      <c r="B63" s="18">
        <v>-1320</v>
      </c>
      <c r="C63" s="18">
        <v>0</v>
      </c>
      <c r="D63" s="18">
        <v>-63.36</v>
      </c>
      <c r="E63" s="18">
        <v>-1.1399999999999999</v>
      </c>
      <c r="F63" s="18">
        <v>0</v>
      </c>
      <c r="G63" s="18">
        <v>-800</v>
      </c>
      <c r="H63" s="18">
        <v>0</v>
      </c>
      <c r="I63" s="18">
        <v>-2300.1999999999998</v>
      </c>
      <c r="J63" s="18">
        <v>-58.8</v>
      </c>
      <c r="K63" s="18">
        <v>0</v>
      </c>
      <c r="L63" s="18">
        <v>0</v>
      </c>
      <c r="M63" s="18">
        <v>-5342.5</v>
      </c>
      <c r="N63" s="18">
        <v>0</v>
      </c>
      <c r="O63" s="18">
        <v>0</v>
      </c>
      <c r="P63" s="18">
        <v>-103.79</v>
      </c>
      <c r="Q63" s="18">
        <v>-303.05</v>
      </c>
      <c r="R63" s="18">
        <v>0</v>
      </c>
      <c r="S63" s="18">
        <v>-3936.52</v>
      </c>
      <c r="T63" s="18">
        <v>-5013.7299999999996</v>
      </c>
      <c r="U63" s="18">
        <v>-2943.05</v>
      </c>
      <c r="V63" s="18">
        <v>-5917.94</v>
      </c>
      <c r="W63" s="18">
        <v>-5201.99</v>
      </c>
      <c r="X63" s="18">
        <v>-6630.79</v>
      </c>
      <c r="Y63" s="18">
        <v>-1492.24</v>
      </c>
      <c r="Z63" s="18">
        <v>-846.2</v>
      </c>
      <c r="AA63" s="18">
        <v>-2068.85</v>
      </c>
      <c r="AB63" s="18">
        <v>-1989.2</v>
      </c>
      <c r="AC63" s="18">
        <v>-647.9</v>
      </c>
      <c r="AD63" s="18">
        <v>-750.08</v>
      </c>
      <c r="AE63" s="18">
        <v>-55372.13</v>
      </c>
      <c r="AF63" s="18">
        <v>-3928.5</v>
      </c>
      <c r="AG63" s="18">
        <f t="shared" si="0"/>
        <v>-103103.45999999999</v>
      </c>
    </row>
    <row r="64" spans="1:33" s="7" customFormat="1" x14ac:dyDescent="0.25">
      <c r="A64" s="21" t="s">
        <v>160</v>
      </c>
      <c r="B64" s="22">
        <v>-1320</v>
      </c>
      <c r="C64" s="22">
        <v>0</v>
      </c>
      <c r="D64" s="22">
        <v>-63.36</v>
      </c>
      <c r="E64" s="22">
        <v>-1.1399999999999999</v>
      </c>
      <c r="F64" s="22">
        <v>0</v>
      </c>
      <c r="G64" s="22">
        <v>-800</v>
      </c>
      <c r="H64" s="22">
        <v>0</v>
      </c>
      <c r="I64" s="22">
        <v>-2300.1999999999998</v>
      </c>
      <c r="J64" s="22">
        <v>-58.8</v>
      </c>
      <c r="K64" s="22">
        <v>0</v>
      </c>
      <c r="L64" s="22">
        <v>0</v>
      </c>
      <c r="M64" s="22">
        <v>-5342.5</v>
      </c>
      <c r="N64" s="22">
        <v>0</v>
      </c>
      <c r="O64" s="22">
        <v>0</v>
      </c>
      <c r="P64" s="22">
        <v>-103.79</v>
      </c>
      <c r="Q64" s="22">
        <v>-303.05</v>
      </c>
      <c r="R64" s="22">
        <v>0</v>
      </c>
      <c r="S64" s="22">
        <v>-3936.52</v>
      </c>
      <c r="T64" s="22">
        <v>-5013.7299999999996</v>
      </c>
      <c r="U64" s="22">
        <v>-2943.05</v>
      </c>
      <c r="V64" s="22">
        <v>-5917.94</v>
      </c>
      <c r="W64" s="22">
        <v>-5201.99</v>
      </c>
      <c r="X64" s="22">
        <v>-6630.79</v>
      </c>
      <c r="Y64" s="22">
        <v>-1492.24</v>
      </c>
      <c r="Z64" s="22">
        <v>-846.2</v>
      </c>
      <c r="AA64" s="22">
        <v>-2068.85</v>
      </c>
      <c r="AB64" s="22">
        <v>-1989.2</v>
      </c>
      <c r="AC64" s="22">
        <v>-647.9</v>
      </c>
      <c r="AD64" s="22">
        <v>-750.08</v>
      </c>
      <c r="AE64" s="22">
        <v>-55372.13</v>
      </c>
      <c r="AF64" s="22">
        <v>-3928.5</v>
      </c>
      <c r="AG64" s="22">
        <f t="shared" si="0"/>
        <v>-103103.45999999999</v>
      </c>
    </row>
    <row r="65" spans="1:33" s="7" customFormat="1" x14ac:dyDescent="0.25">
      <c r="A65" s="19" t="s">
        <v>162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>
        <v>-492.31</v>
      </c>
      <c r="AF65" s="20"/>
      <c r="AG65" s="20"/>
    </row>
    <row r="66" spans="1:33" x14ac:dyDescent="0.25">
      <c r="A66" s="19" t="s">
        <v>56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-420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-1680</v>
      </c>
      <c r="T66" s="20">
        <v>0</v>
      </c>
      <c r="U66" s="20">
        <v>0</v>
      </c>
      <c r="V66" s="20">
        <v>0</v>
      </c>
      <c r="W66" s="20">
        <v>0</v>
      </c>
      <c r="X66" s="20">
        <v>-30</v>
      </c>
      <c r="Y66" s="20">
        <v>-1390.89</v>
      </c>
      <c r="Z66" s="20">
        <v>-16.97</v>
      </c>
      <c r="AA66" s="20">
        <v>0</v>
      </c>
      <c r="AB66" s="20">
        <v>-369.71</v>
      </c>
      <c r="AC66" s="20">
        <v>-100</v>
      </c>
      <c r="AD66" s="20">
        <v>-118.77</v>
      </c>
      <c r="AE66" s="20"/>
      <c r="AF66" s="20">
        <v>-550</v>
      </c>
      <c r="AG66" s="20">
        <f t="shared" si="0"/>
        <v>-4126.34</v>
      </c>
    </row>
    <row r="67" spans="1:33" x14ac:dyDescent="0.25">
      <c r="A67" s="19" t="s">
        <v>57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-380</v>
      </c>
      <c r="H67" s="20">
        <v>0</v>
      </c>
      <c r="I67" s="20">
        <v>0</v>
      </c>
      <c r="J67" s="20">
        <v>-58.8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-2256.52</v>
      </c>
      <c r="T67" s="20">
        <v>-1682.51</v>
      </c>
      <c r="U67" s="20">
        <v>-843.05</v>
      </c>
      <c r="V67" s="20">
        <v>-588.88</v>
      </c>
      <c r="W67" s="20">
        <v>-5059.99</v>
      </c>
      <c r="X67" s="20">
        <v>-4190.49</v>
      </c>
      <c r="Y67" s="20">
        <v>-101.35</v>
      </c>
      <c r="Z67" s="20">
        <v>-829.23</v>
      </c>
      <c r="AA67" s="20">
        <v>-1168.8499999999999</v>
      </c>
      <c r="AB67" s="20">
        <v>-1619.49</v>
      </c>
      <c r="AC67" s="20">
        <v>-547.9</v>
      </c>
      <c r="AD67" s="20">
        <v>-269.64999999999998</v>
      </c>
      <c r="AE67" s="20">
        <v>-525.76</v>
      </c>
      <c r="AF67" s="20">
        <v>-378.5</v>
      </c>
      <c r="AG67" s="20">
        <f t="shared" si="0"/>
        <v>-20122.47</v>
      </c>
    </row>
    <row r="68" spans="1:33" x14ac:dyDescent="0.25">
      <c r="A68" s="19" t="s">
        <v>58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-2300.1999999999998</v>
      </c>
      <c r="J68" s="20">
        <v>0</v>
      </c>
      <c r="K68" s="20">
        <v>0</v>
      </c>
      <c r="L68" s="20">
        <v>0</v>
      </c>
      <c r="M68" s="20">
        <v>-3342.5</v>
      </c>
      <c r="N68" s="20">
        <v>0</v>
      </c>
      <c r="O68" s="20">
        <v>0</v>
      </c>
      <c r="P68" s="20">
        <v>-103.79</v>
      </c>
      <c r="Q68" s="20">
        <v>0</v>
      </c>
      <c r="R68" s="20">
        <v>0</v>
      </c>
      <c r="S68" s="20">
        <v>0</v>
      </c>
      <c r="T68" s="20">
        <v>0</v>
      </c>
      <c r="U68" s="20">
        <v>-2100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-900</v>
      </c>
      <c r="AB68" s="20">
        <v>0</v>
      </c>
      <c r="AC68" s="20">
        <v>0</v>
      </c>
      <c r="AD68" s="20">
        <v>0</v>
      </c>
      <c r="AE68" s="20"/>
      <c r="AF68" s="20">
        <v>-3000</v>
      </c>
      <c r="AG68" s="20">
        <f t="shared" ref="AG68:AG75" si="1">SUM(B68:AE68)</f>
        <v>-8746.49</v>
      </c>
    </row>
    <row r="69" spans="1:33" x14ac:dyDescent="0.25">
      <c r="A69" s="19" t="s">
        <v>59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>
        <v>0</v>
      </c>
      <c r="O69" s="20">
        <v>0</v>
      </c>
      <c r="P69" s="20">
        <v>0</v>
      </c>
      <c r="Q69" s="20">
        <v>-303.05</v>
      </c>
      <c r="R69" s="20">
        <v>0</v>
      </c>
      <c r="S69" s="20">
        <v>0</v>
      </c>
      <c r="T69" s="20">
        <v>-3331.22</v>
      </c>
      <c r="U69" s="20">
        <v>0</v>
      </c>
      <c r="V69" s="20">
        <v>-5329.06</v>
      </c>
      <c r="W69" s="20">
        <v>-142</v>
      </c>
      <c r="X69" s="20">
        <v>-2410.3000000000002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-361.66</v>
      </c>
      <c r="AE69" s="20">
        <v>-54354.06</v>
      </c>
      <c r="AF69" s="20"/>
      <c r="AG69" s="20">
        <f t="shared" si="1"/>
        <v>-66231.350000000006</v>
      </c>
    </row>
    <row r="70" spans="1:33" x14ac:dyDescent="0.25">
      <c r="A70" s="19" t="s">
        <v>60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-2000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>
        <f>SUM(B70:AE70)</f>
        <v>-2000</v>
      </c>
    </row>
    <row r="71" spans="1:33" x14ac:dyDescent="0.25">
      <c r="A71" s="19" t="s">
        <v>61</v>
      </c>
      <c r="B71" s="20">
        <v>-1320</v>
      </c>
      <c r="C71" s="20">
        <v>0</v>
      </c>
      <c r="D71" s="20">
        <v>0</v>
      </c>
      <c r="E71" s="20">
        <v>-1.1399999999999999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>
        <f t="shared" si="1"/>
        <v>-1321.14</v>
      </c>
    </row>
    <row r="72" spans="1:33" x14ac:dyDescent="0.25">
      <c r="A72" s="19" t="s">
        <v>62</v>
      </c>
      <c r="B72" s="20">
        <v>0</v>
      </c>
      <c r="C72" s="20">
        <v>0</v>
      </c>
      <c r="D72" s="20">
        <v>-63.36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>
        <f t="shared" si="1"/>
        <v>-63.36</v>
      </c>
    </row>
    <row r="73" spans="1:33" s="6" customFormat="1" ht="15.75" x14ac:dyDescent="0.25">
      <c r="A73" s="17" t="s">
        <v>63</v>
      </c>
      <c r="B73" s="18">
        <v>-40000</v>
      </c>
      <c r="C73" s="18">
        <v>0</v>
      </c>
      <c r="D73" s="18">
        <v>-412000</v>
      </c>
      <c r="E73" s="18">
        <v>-83000</v>
      </c>
      <c r="F73" s="18">
        <v>-143000</v>
      </c>
      <c r="G73" s="18">
        <v>-250000</v>
      </c>
      <c r="H73" s="18">
        <v>-293837.27</v>
      </c>
      <c r="I73" s="18">
        <v>-48000</v>
      </c>
      <c r="J73" s="18">
        <v>-67000</v>
      </c>
      <c r="K73" s="18">
        <v>-71982.899999999994</v>
      </c>
      <c r="L73" s="18">
        <v>0</v>
      </c>
      <c r="M73" s="18">
        <v>-135000</v>
      </c>
      <c r="N73" s="18">
        <v>-348047.11</v>
      </c>
      <c r="O73" s="18">
        <v>-250000</v>
      </c>
      <c r="P73" s="18">
        <v>-410000</v>
      </c>
      <c r="Q73" s="18">
        <v>-290000</v>
      </c>
      <c r="R73" s="18">
        <v>-41000</v>
      </c>
      <c r="S73" s="18">
        <v>-35000</v>
      </c>
      <c r="T73" s="18">
        <v>-40000</v>
      </c>
      <c r="U73" s="18">
        <v>-120000</v>
      </c>
      <c r="V73" s="18">
        <v>-120000</v>
      </c>
      <c r="W73" s="18">
        <v>-49000</v>
      </c>
      <c r="X73" s="18">
        <v>-120000</v>
      </c>
      <c r="Y73" s="18">
        <v>-145000</v>
      </c>
      <c r="Z73" s="18">
        <v>-290000</v>
      </c>
      <c r="AA73" s="18">
        <v>-150000</v>
      </c>
      <c r="AB73" s="18">
        <v>-140000</v>
      </c>
      <c r="AC73" s="18">
        <v>-150500</v>
      </c>
      <c r="AD73" s="18">
        <v>-100000</v>
      </c>
      <c r="AE73" s="18">
        <v>-70000</v>
      </c>
      <c r="AF73" s="18">
        <v>-171000</v>
      </c>
      <c r="AG73" s="18">
        <f t="shared" si="1"/>
        <v>-4412367.2799999993</v>
      </c>
    </row>
    <row r="74" spans="1:33" x14ac:dyDescent="0.25">
      <c r="A74" s="19" t="s">
        <v>64</v>
      </c>
      <c r="B74" s="20">
        <v>-40000</v>
      </c>
      <c r="C74" s="20">
        <v>0</v>
      </c>
      <c r="D74" s="20">
        <v>-412000</v>
      </c>
      <c r="E74" s="20">
        <v>-83000</v>
      </c>
      <c r="F74" s="20">
        <v>-143000</v>
      </c>
      <c r="G74" s="20">
        <v>-250000</v>
      </c>
      <c r="H74" s="20">
        <v>-293837.27</v>
      </c>
      <c r="I74" s="20">
        <v>-48000</v>
      </c>
      <c r="J74" s="20">
        <v>-67000</v>
      </c>
      <c r="K74" s="20">
        <v>-71982.899999999994</v>
      </c>
      <c r="L74" s="20">
        <v>0</v>
      </c>
      <c r="M74" s="20">
        <v>-135000</v>
      </c>
      <c r="N74" s="20">
        <v>-348047.11</v>
      </c>
      <c r="O74" s="20">
        <v>-250000</v>
      </c>
      <c r="P74" s="20">
        <v>-410000</v>
      </c>
      <c r="Q74" s="20">
        <v>-290000</v>
      </c>
      <c r="R74" s="20">
        <v>-41000</v>
      </c>
      <c r="S74" s="20">
        <v>-35000</v>
      </c>
      <c r="T74" s="20">
        <v>-40000</v>
      </c>
      <c r="U74" s="20">
        <v>-120000</v>
      </c>
      <c r="V74" s="20">
        <v>-120000</v>
      </c>
      <c r="W74" s="20">
        <v>-49000</v>
      </c>
      <c r="X74" s="20">
        <v>-120000</v>
      </c>
      <c r="Y74" s="20">
        <v>-145000</v>
      </c>
      <c r="Z74" s="20">
        <v>-290000</v>
      </c>
      <c r="AA74" s="20">
        <v>-150000</v>
      </c>
      <c r="AB74" s="20">
        <v>-140000</v>
      </c>
      <c r="AC74" s="20">
        <v>-150500</v>
      </c>
      <c r="AD74" s="20">
        <v>-100000</v>
      </c>
      <c r="AE74" s="20">
        <v>-70000</v>
      </c>
      <c r="AF74" s="20">
        <v>-171000</v>
      </c>
      <c r="AG74" s="20">
        <f t="shared" si="1"/>
        <v>-4412367.2799999993</v>
      </c>
    </row>
    <row r="75" spans="1:33" s="5" customFormat="1" ht="15.75" x14ac:dyDescent="0.25">
      <c r="A75" s="23" t="s">
        <v>65</v>
      </c>
      <c r="B75" s="16">
        <v>28881.42</v>
      </c>
      <c r="C75" s="16">
        <v>239883.58</v>
      </c>
      <c r="D75" s="16">
        <v>-187887.54</v>
      </c>
      <c r="E75" s="16">
        <v>-57992.26</v>
      </c>
      <c r="F75" s="16">
        <v>-2929.67</v>
      </c>
      <c r="G75" s="16">
        <v>61802.29</v>
      </c>
      <c r="H75" s="16">
        <v>-4102.22</v>
      </c>
      <c r="I75" s="16">
        <v>-63005.39</v>
      </c>
      <c r="J75" s="16">
        <v>16320.57</v>
      </c>
      <c r="K75" s="16">
        <v>-8856.2000000000007</v>
      </c>
      <c r="L75" s="16">
        <v>79239</v>
      </c>
      <c r="M75" s="16">
        <v>-62249.84</v>
      </c>
      <c r="N75" s="16">
        <v>309748.12</v>
      </c>
      <c r="O75" s="16">
        <v>-74944.31</v>
      </c>
      <c r="P75" s="16">
        <v>-194378.3</v>
      </c>
      <c r="Q75" s="16">
        <v>-9667</v>
      </c>
      <c r="R75" s="16">
        <v>-27575.94</v>
      </c>
      <c r="S75" s="16">
        <v>-17659.41</v>
      </c>
      <c r="T75" s="16">
        <v>91980.77</v>
      </c>
      <c r="U75" s="16">
        <v>-58540.73</v>
      </c>
      <c r="V75" s="16">
        <v>-16020.56</v>
      </c>
      <c r="W75" s="16">
        <v>2319.0700000000002</v>
      </c>
      <c r="X75" s="16">
        <v>48138.080000000002</v>
      </c>
      <c r="Y75" s="16">
        <v>-39725.410000000003</v>
      </c>
      <c r="Z75" s="16">
        <v>29223.01</v>
      </c>
      <c r="AA75" s="16">
        <v>-25183.93</v>
      </c>
      <c r="AB75" s="16">
        <v>39921.120000000003</v>
      </c>
      <c r="AC75" s="16">
        <v>-16650.16</v>
      </c>
      <c r="AD75" s="16">
        <v>-30418.84</v>
      </c>
      <c r="AE75" s="16">
        <v>71840.740000000005</v>
      </c>
      <c r="AF75" s="16">
        <v>-13371.09</v>
      </c>
      <c r="AG75" s="16">
        <f t="shared" si="1"/>
        <v>121510.06</v>
      </c>
    </row>
    <row r="76" spans="1:33" s="5" customFormat="1" ht="15.75" x14ac:dyDescent="0.25">
      <c r="A76" s="23" t="s">
        <v>66</v>
      </c>
      <c r="B76" s="16">
        <v>43881.42</v>
      </c>
      <c r="C76" s="16">
        <v>283765</v>
      </c>
      <c r="D76" s="16">
        <v>95877.46</v>
      </c>
      <c r="E76" s="16">
        <v>37885.199999999997</v>
      </c>
      <c r="F76" s="16">
        <v>34955.53</v>
      </c>
      <c r="G76" s="16">
        <v>96757.82</v>
      </c>
      <c r="H76" s="16">
        <v>92655.6</v>
      </c>
      <c r="I76" s="16">
        <v>29650.21</v>
      </c>
      <c r="J76" s="16">
        <v>45970.78</v>
      </c>
      <c r="K76" s="16">
        <v>37114.58</v>
      </c>
      <c r="L76" s="16">
        <v>116353.58</v>
      </c>
      <c r="M76" s="16">
        <v>54103.74</v>
      </c>
      <c r="N76" s="16">
        <v>363851.86</v>
      </c>
      <c r="O76" s="16">
        <v>288907.55</v>
      </c>
      <c r="P76" s="16">
        <v>94529.25</v>
      </c>
      <c r="Q76" s="16">
        <v>84862.25</v>
      </c>
      <c r="R76" s="16">
        <v>57286.31</v>
      </c>
      <c r="S76" s="16">
        <v>39626.9</v>
      </c>
      <c r="T76" s="16">
        <v>131607.67000000001</v>
      </c>
      <c r="U76" s="16">
        <v>73066.94</v>
      </c>
      <c r="V76" s="16">
        <v>57046.38</v>
      </c>
      <c r="W76" s="16">
        <v>59365.45</v>
      </c>
      <c r="X76" s="16">
        <v>107503.53</v>
      </c>
      <c r="Y76" s="16">
        <v>67778.12</v>
      </c>
      <c r="Z76" s="16">
        <v>97001.13</v>
      </c>
      <c r="AA76" s="16">
        <v>71817.2</v>
      </c>
      <c r="AB76" s="16">
        <v>111738.32</v>
      </c>
      <c r="AC76" s="16">
        <v>95088.16</v>
      </c>
      <c r="AD76" s="16">
        <v>64669.32</v>
      </c>
      <c r="AE76" s="16">
        <v>136510.06</v>
      </c>
      <c r="AF76" s="16">
        <v>123138.97</v>
      </c>
      <c r="AG76" s="16"/>
    </row>
  </sheetData>
  <phoneticPr fontId="12" type="noConversion"/>
  <conditionalFormatting sqref="A18">
    <cfRule type="containsText" dxfId="7" priority="5" operator="containsText" text="Total de Pagamentos">
      <formula>NOT(ISERROR(SEARCH("Total de Pagamentos",A18)))</formula>
    </cfRule>
  </conditionalFormatting>
  <conditionalFormatting sqref="A3:AG3">
    <cfRule type="cellIs" dxfId="6" priority="7" operator="greaterThan">
      <formula>1</formula>
    </cfRule>
  </conditionalFormatting>
  <conditionalFormatting sqref="A18:AG18">
    <cfRule type="cellIs" dxfId="5" priority="6" operator="lessThan">
      <formula>0.1</formula>
    </cfRule>
  </conditionalFormatting>
  <conditionalFormatting sqref="B75:AF76">
    <cfRule type="cellIs" dxfId="4" priority="3" operator="lessThan">
      <formula>0.1</formula>
    </cfRule>
    <cfRule type="cellIs" dxfId="3" priority="4" operator="greaterThan">
      <formula>1</formula>
    </cfRule>
  </conditionalFormatting>
  <conditionalFormatting sqref="AG75:AG76">
    <cfRule type="cellIs" dxfId="2" priority="1" operator="lessThan">
      <formula>0.1</formula>
    </cfRule>
    <cfRule type="cellIs" dxfId="1" priority="2" operator="greaterThan"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AG2:AG64 AG66:AG75" formulaRange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9CAA-BC0F-493F-B222-9934380060D8}">
  <dimension ref="A1:AF78"/>
  <sheetViews>
    <sheetView showGridLines="0" topLeftCell="A54" workbookViewId="0">
      <pane xSplit="1" topLeftCell="X1" activePane="topRight" state="frozen"/>
      <selection pane="topRight" activeCell="AG69" sqref="AG69"/>
    </sheetView>
  </sheetViews>
  <sheetFormatPr defaultColWidth="15" defaultRowHeight="15" x14ac:dyDescent="0.25"/>
  <cols>
    <col min="1" max="1" width="55.140625" customWidth="1"/>
    <col min="2" max="31" width="15.7109375" customWidth="1"/>
  </cols>
  <sheetData>
    <row r="1" spans="1:32" s="5" customFormat="1" ht="15.75" x14ac:dyDescent="0.25">
      <c r="A1" s="24" t="s">
        <v>116</v>
      </c>
      <c r="B1" s="25" t="s">
        <v>68</v>
      </c>
      <c r="C1" s="25" t="s">
        <v>69</v>
      </c>
      <c r="D1" s="25" t="s">
        <v>70</v>
      </c>
      <c r="E1" s="25" t="s">
        <v>71</v>
      </c>
      <c r="F1" s="25" t="s">
        <v>72</v>
      </c>
      <c r="G1" s="25" t="s">
        <v>73</v>
      </c>
      <c r="H1" s="25" t="s">
        <v>74</v>
      </c>
      <c r="I1" s="25" t="s">
        <v>75</v>
      </c>
      <c r="J1" s="25" t="s">
        <v>76</v>
      </c>
      <c r="K1" s="25" t="s">
        <v>77</v>
      </c>
      <c r="L1" s="25" t="s">
        <v>78</v>
      </c>
      <c r="M1" s="25" t="s">
        <v>79</v>
      </c>
      <c r="N1" s="25" t="s">
        <v>80</v>
      </c>
      <c r="O1" s="25" t="s">
        <v>81</v>
      </c>
      <c r="P1" s="25" t="s">
        <v>82</v>
      </c>
      <c r="Q1" s="25" t="s">
        <v>83</v>
      </c>
      <c r="R1" s="25" t="s">
        <v>84</v>
      </c>
      <c r="S1" s="25" t="s">
        <v>85</v>
      </c>
      <c r="T1" s="25" t="s">
        <v>86</v>
      </c>
      <c r="U1" s="25" t="s">
        <v>87</v>
      </c>
      <c r="V1" s="25" t="s">
        <v>88</v>
      </c>
      <c r="W1" s="25" t="s">
        <v>89</v>
      </c>
      <c r="X1" s="25" t="s">
        <v>90</v>
      </c>
      <c r="Y1" s="25" t="s">
        <v>91</v>
      </c>
      <c r="Z1" s="25" t="s">
        <v>92</v>
      </c>
      <c r="AA1" s="25" t="s">
        <v>93</v>
      </c>
      <c r="AB1" s="25" t="s">
        <v>94</v>
      </c>
      <c r="AC1" s="25" t="s">
        <v>95</v>
      </c>
      <c r="AD1" s="26" t="s">
        <v>96</v>
      </c>
      <c r="AE1" s="26" t="s">
        <v>163</v>
      </c>
      <c r="AF1" s="26" t="s">
        <v>168</v>
      </c>
    </row>
    <row r="2" spans="1:32" s="7" customFormat="1" x14ac:dyDescent="0.25">
      <c r="A2" s="27" t="s">
        <v>117</v>
      </c>
      <c r="B2" s="28">
        <v>69214.61</v>
      </c>
      <c r="C2" s="28">
        <v>266160.89</v>
      </c>
      <c r="D2" s="28">
        <v>265636.25</v>
      </c>
      <c r="E2" s="28">
        <v>77666.95</v>
      </c>
      <c r="F2" s="28">
        <v>171019.18</v>
      </c>
      <c r="G2" s="28">
        <v>348636.00999999995</v>
      </c>
      <c r="H2" s="28">
        <v>350736.44</v>
      </c>
      <c r="I2" s="28">
        <v>59426.009999999995</v>
      </c>
      <c r="J2" s="28">
        <v>109628.67000000001</v>
      </c>
      <c r="K2" s="28">
        <v>94204.59</v>
      </c>
      <c r="L2" s="28">
        <v>113031.32</v>
      </c>
      <c r="M2" s="28">
        <v>110900.94</v>
      </c>
      <c r="N2" s="28">
        <v>690450.92999999993</v>
      </c>
      <c r="O2" s="28">
        <v>292132.06</v>
      </c>
      <c r="P2" s="28">
        <v>267528.59999999998</v>
      </c>
      <c r="Q2" s="28">
        <v>337535.76999999996</v>
      </c>
      <c r="R2" s="28">
        <v>84413.459999999992</v>
      </c>
      <c r="S2" s="28">
        <v>55771.97</v>
      </c>
      <c r="T2" s="28">
        <v>166001.37</v>
      </c>
      <c r="U2" s="28">
        <v>106007.20000000001</v>
      </c>
      <c r="V2" s="28">
        <v>157586.9</v>
      </c>
      <c r="W2" s="28">
        <v>103871.22</v>
      </c>
      <c r="X2" s="28">
        <v>215529.23</v>
      </c>
      <c r="Y2" s="28">
        <v>170627.18</v>
      </c>
      <c r="Z2" s="28">
        <v>373312.52</v>
      </c>
      <c r="AA2" s="28">
        <v>214527.81</v>
      </c>
      <c r="AB2" s="28">
        <v>238967.08000000002</v>
      </c>
      <c r="AC2" s="28">
        <v>196263.77000000002</v>
      </c>
      <c r="AD2" s="29">
        <v>128021.03</v>
      </c>
      <c r="AE2" s="29">
        <v>195812.79999999996</v>
      </c>
      <c r="AF2" s="29">
        <v>230094.69999999998</v>
      </c>
    </row>
    <row r="3" spans="1:32" s="7" customFormat="1" x14ac:dyDescent="0.25">
      <c r="A3" s="30" t="s">
        <v>118</v>
      </c>
      <c r="B3" s="28">
        <v>69214.61</v>
      </c>
      <c r="C3" s="28">
        <v>266160.89</v>
      </c>
      <c r="D3" s="28">
        <v>265636.25</v>
      </c>
      <c r="E3" s="28">
        <v>77666.95</v>
      </c>
      <c r="F3" s="28">
        <v>171019.18</v>
      </c>
      <c r="G3" s="28">
        <v>348636.00999999995</v>
      </c>
      <c r="H3" s="28">
        <v>350736.44</v>
      </c>
      <c r="I3" s="28">
        <v>59426.009999999995</v>
      </c>
      <c r="J3" s="28">
        <v>109628.67000000001</v>
      </c>
      <c r="K3" s="28">
        <v>94204.59</v>
      </c>
      <c r="L3" s="28">
        <v>113031.32</v>
      </c>
      <c r="M3" s="28">
        <v>110900.94</v>
      </c>
      <c r="N3" s="28">
        <v>690450.92999999993</v>
      </c>
      <c r="O3" s="28">
        <v>292132.06</v>
      </c>
      <c r="P3" s="28">
        <v>267528.59999999998</v>
      </c>
      <c r="Q3" s="28">
        <v>337535.76999999996</v>
      </c>
      <c r="R3" s="28">
        <v>84413.459999999992</v>
      </c>
      <c r="S3" s="28">
        <v>55771.97</v>
      </c>
      <c r="T3" s="28">
        <v>166001.37</v>
      </c>
      <c r="U3" s="28">
        <v>106007.20000000001</v>
      </c>
      <c r="V3" s="28">
        <v>157586.9</v>
      </c>
      <c r="W3" s="28">
        <v>103871.22</v>
      </c>
      <c r="X3" s="28">
        <v>215529.23</v>
      </c>
      <c r="Y3" s="28">
        <v>170627.18</v>
      </c>
      <c r="Z3" s="28">
        <v>373312.52</v>
      </c>
      <c r="AA3" s="28">
        <v>214527.81</v>
      </c>
      <c r="AB3" s="28">
        <v>238967.08000000002</v>
      </c>
      <c r="AC3" s="28">
        <v>196263.77000000002</v>
      </c>
      <c r="AD3" s="29">
        <v>128021.03</v>
      </c>
      <c r="AE3" s="29">
        <v>195812.79999999996</v>
      </c>
      <c r="AF3" s="29">
        <v>230094.69999999998</v>
      </c>
    </row>
    <row r="4" spans="1:32" x14ac:dyDescent="0.25">
      <c r="A4" s="31" t="s">
        <v>13</v>
      </c>
      <c r="B4" s="32">
        <v>63421.880000000005</v>
      </c>
      <c r="C4" s="32">
        <v>260364.22</v>
      </c>
      <c r="D4" s="32">
        <v>259837.71</v>
      </c>
      <c r="E4" s="32">
        <v>71871.11</v>
      </c>
      <c r="F4" s="32">
        <v>165235.57999999999</v>
      </c>
      <c r="G4" s="32">
        <v>342852.82999999996</v>
      </c>
      <c r="H4" s="32">
        <v>348753.26</v>
      </c>
      <c r="I4" s="32">
        <v>55646.979999999996</v>
      </c>
      <c r="J4" s="32">
        <v>105856.48999999999</v>
      </c>
      <c r="K4" s="32">
        <v>86630.33</v>
      </c>
      <c r="L4" s="32">
        <v>109254.57</v>
      </c>
      <c r="M4" s="32">
        <v>104386.23999999999</v>
      </c>
      <c r="N4" s="32">
        <v>686668.58</v>
      </c>
      <c r="O4" s="32">
        <v>288353.86</v>
      </c>
      <c r="P4" s="32">
        <v>263756.63</v>
      </c>
      <c r="Q4" s="32">
        <v>333763.17999999993</v>
      </c>
      <c r="R4" s="32">
        <v>80641.489999999991</v>
      </c>
      <c r="S4" s="32">
        <v>52000</v>
      </c>
      <c r="T4" s="32">
        <v>141072</v>
      </c>
      <c r="U4" s="32">
        <v>83940.62</v>
      </c>
      <c r="V4" s="32">
        <v>131398.43</v>
      </c>
      <c r="W4" s="32">
        <v>76925</v>
      </c>
      <c r="X4" s="32">
        <v>191927.94</v>
      </c>
      <c r="Y4" s="32">
        <v>143838.70000000001</v>
      </c>
      <c r="Z4" s="32">
        <v>355311.18</v>
      </c>
      <c r="AA4" s="32">
        <v>196526.47</v>
      </c>
      <c r="AB4" s="32">
        <v>220965.74</v>
      </c>
      <c r="AC4" s="32">
        <v>178262.43</v>
      </c>
      <c r="AD4" s="33">
        <v>111916.01000000001</v>
      </c>
      <c r="AE4" s="33">
        <v>169707.77999999994</v>
      </c>
      <c r="AF4" s="33">
        <v>203989.68</v>
      </c>
    </row>
    <row r="5" spans="1:32" x14ac:dyDescent="0.25">
      <c r="A5" s="31" t="s">
        <v>14</v>
      </c>
      <c r="B5" s="32">
        <v>5792.73</v>
      </c>
      <c r="C5" s="32">
        <v>5796.67</v>
      </c>
      <c r="D5" s="32">
        <v>5798.54</v>
      </c>
      <c r="E5" s="32">
        <v>5795.84</v>
      </c>
      <c r="F5" s="32">
        <v>5783.6</v>
      </c>
      <c r="G5" s="32">
        <v>5783.18</v>
      </c>
      <c r="H5" s="32">
        <v>1983.18</v>
      </c>
      <c r="I5" s="32">
        <v>3779.0299999999997</v>
      </c>
      <c r="J5" s="32">
        <v>3772.1800000000003</v>
      </c>
      <c r="K5" s="32">
        <v>7574.26</v>
      </c>
      <c r="L5" s="32">
        <v>3776.75</v>
      </c>
      <c r="M5" s="32">
        <v>6514.7</v>
      </c>
      <c r="N5" s="32">
        <v>3782.35</v>
      </c>
      <c r="O5" s="32">
        <v>3778.2</v>
      </c>
      <c r="P5" s="32">
        <v>3771.9700000000003</v>
      </c>
      <c r="Q5" s="32">
        <v>3772.59</v>
      </c>
      <c r="R5" s="32">
        <v>3771.9700000000003</v>
      </c>
      <c r="S5" s="32">
        <v>3771.9700000000003</v>
      </c>
      <c r="T5" s="32">
        <v>24929.37</v>
      </c>
      <c r="U5" s="32">
        <v>22066.58</v>
      </c>
      <c r="V5" s="32">
        <v>26188.469999999998</v>
      </c>
      <c r="W5" s="32">
        <v>26946.219999999998</v>
      </c>
      <c r="X5" s="32">
        <v>23601.29</v>
      </c>
      <c r="Y5" s="32">
        <v>26788.48</v>
      </c>
      <c r="Z5" s="32">
        <v>18001.34</v>
      </c>
      <c r="AA5" s="32">
        <v>18001.34</v>
      </c>
      <c r="AB5" s="32">
        <v>18001.34</v>
      </c>
      <c r="AC5" s="32">
        <v>18001.34</v>
      </c>
      <c r="AD5" s="33">
        <v>16105.02</v>
      </c>
      <c r="AE5" s="33">
        <v>26105.02</v>
      </c>
      <c r="AF5" s="33">
        <v>26105.02</v>
      </c>
    </row>
    <row r="6" spans="1:32" x14ac:dyDescent="0.25">
      <c r="A6" s="34" t="s">
        <v>119</v>
      </c>
      <c r="B6" s="35">
        <v>69214.61</v>
      </c>
      <c r="C6" s="35">
        <v>266160.89</v>
      </c>
      <c r="D6" s="35">
        <v>265636.25</v>
      </c>
      <c r="E6" s="35">
        <v>77666.95</v>
      </c>
      <c r="F6" s="35">
        <v>171019.18</v>
      </c>
      <c r="G6" s="35">
        <v>348636.00999999995</v>
      </c>
      <c r="H6" s="35">
        <v>350736.44</v>
      </c>
      <c r="I6" s="35">
        <v>59426.009999999995</v>
      </c>
      <c r="J6" s="35">
        <v>109628.67000000001</v>
      </c>
      <c r="K6" s="35">
        <v>94204.59</v>
      </c>
      <c r="L6" s="35">
        <v>113031.32</v>
      </c>
      <c r="M6" s="35">
        <v>110900.94</v>
      </c>
      <c r="N6" s="35">
        <v>690450.92999999993</v>
      </c>
      <c r="O6" s="35">
        <v>292132.06</v>
      </c>
      <c r="P6" s="35">
        <v>267528.59999999998</v>
      </c>
      <c r="Q6" s="35">
        <v>337535.76999999996</v>
      </c>
      <c r="R6" s="35">
        <v>84413.459999999992</v>
      </c>
      <c r="S6" s="35">
        <v>55771.97</v>
      </c>
      <c r="T6" s="35">
        <v>166001.37</v>
      </c>
      <c r="U6" s="35">
        <v>106007.20000000001</v>
      </c>
      <c r="V6" s="35">
        <v>157586.9</v>
      </c>
      <c r="W6" s="35">
        <v>103871.22</v>
      </c>
      <c r="X6" s="35">
        <v>215529.23</v>
      </c>
      <c r="Y6" s="35">
        <v>170627.18</v>
      </c>
      <c r="Z6" s="35">
        <v>373312.52</v>
      </c>
      <c r="AA6" s="35">
        <v>214527.81</v>
      </c>
      <c r="AB6" s="35">
        <v>238967.08000000002</v>
      </c>
      <c r="AC6" s="35">
        <v>196263.77000000002</v>
      </c>
      <c r="AD6" s="36">
        <v>128021.03</v>
      </c>
      <c r="AE6" s="36">
        <v>195812.79999999996</v>
      </c>
      <c r="AF6" s="36">
        <v>230094.69999999998</v>
      </c>
    </row>
    <row r="7" spans="1:32" s="7" customFormat="1" x14ac:dyDescent="0.25">
      <c r="A7" s="27" t="s">
        <v>120</v>
      </c>
      <c r="B7" s="28">
        <v>-2696.55</v>
      </c>
      <c r="C7" s="28">
        <v>-7308.65</v>
      </c>
      <c r="D7" s="28">
        <v>-25550.82</v>
      </c>
      <c r="E7" s="28">
        <v>-29394.240000000002</v>
      </c>
      <c r="F7" s="28">
        <v>-8591.5499999999993</v>
      </c>
      <c r="G7" s="28">
        <v>-17006.810000000001</v>
      </c>
      <c r="H7" s="28">
        <v>-38376.019999999997</v>
      </c>
      <c r="I7" s="28">
        <v>-44634.12</v>
      </c>
      <c r="J7" s="28">
        <v>-6501.45</v>
      </c>
      <c r="K7" s="28">
        <v>-12504.58</v>
      </c>
      <c r="L7" s="28">
        <v>-11216.96</v>
      </c>
      <c r="M7" s="28">
        <v>-14022.93</v>
      </c>
      <c r="N7" s="28">
        <v>-16359.35</v>
      </c>
      <c r="O7" s="28">
        <v>-90652.37</v>
      </c>
      <c r="P7" s="28">
        <v>-44088.82</v>
      </c>
      <c r="Q7" s="28">
        <v>-40473.79</v>
      </c>
      <c r="R7" s="28">
        <v>-52531.47</v>
      </c>
      <c r="S7" s="28">
        <v>-13170.39</v>
      </c>
      <c r="T7" s="28">
        <v>-8279.2099999999991</v>
      </c>
      <c r="U7" s="28">
        <v>-23373.93</v>
      </c>
      <c r="V7" s="28">
        <v>-14784.69</v>
      </c>
      <c r="W7" s="28">
        <v>-22824.65</v>
      </c>
      <c r="X7" s="28">
        <v>-15213.47</v>
      </c>
      <c r="Y7" s="28">
        <v>-31391.119999999999</v>
      </c>
      <c r="Z7" s="28">
        <v>-25627.5</v>
      </c>
      <c r="AA7" s="28">
        <v>-56574.01</v>
      </c>
      <c r="AB7" s="28">
        <v>-30764.76</v>
      </c>
      <c r="AC7" s="28">
        <v>-32089.02</v>
      </c>
      <c r="AD7" s="29">
        <v>-25916.1</v>
      </c>
      <c r="AE7" s="29">
        <v>-17145.55</v>
      </c>
      <c r="AF7" s="29">
        <v>-26926.959999999999</v>
      </c>
    </row>
    <row r="8" spans="1:32" s="7" customFormat="1" x14ac:dyDescent="0.25">
      <c r="A8" s="30" t="s">
        <v>121</v>
      </c>
      <c r="B8" s="28">
        <v>-2696.55</v>
      </c>
      <c r="C8" s="28">
        <v>-7308.65</v>
      </c>
      <c r="D8" s="28">
        <v>-25550.82</v>
      </c>
      <c r="E8" s="28">
        <v>-29394.240000000002</v>
      </c>
      <c r="F8" s="28">
        <v>-8591.5499999999993</v>
      </c>
      <c r="G8" s="28">
        <v>-17006.810000000001</v>
      </c>
      <c r="H8" s="28">
        <v>-38376.019999999997</v>
      </c>
      <c r="I8" s="28">
        <v>-44634.12</v>
      </c>
      <c r="J8" s="28">
        <v>-6501.45</v>
      </c>
      <c r="K8" s="28">
        <v>-12504.58</v>
      </c>
      <c r="L8" s="28">
        <v>-11216.96</v>
      </c>
      <c r="M8" s="28">
        <v>-14022.93</v>
      </c>
      <c r="N8" s="28">
        <v>-16359.35</v>
      </c>
      <c r="O8" s="28">
        <v>-90652.37</v>
      </c>
      <c r="P8" s="28">
        <v>-44088.82</v>
      </c>
      <c r="Q8" s="28">
        <v>-40473.79</v>
      </c>
      <c r="R8" s="28">
        <v>-52531.47</v>
      </c>
      <c r="S8" s="28">
        <v>-13170.39</v>
      </c>
      <c r="T8" s="28">
        <v>-8279.2099999999991</v>
      </c>
      <c r="U8" s="28">
        <v>-23373.93</v>
      </c>
      <c r="V8" s="28">
        <v>-14784.69</v>
      </c>
      <c r="W8" s="28">
        <v>-22824.65</v>
      </c>
      <c r="X8" s="28">
        <v>-15213.47</v>
      </c>
      <c r="Y8" s="28">
        <v>-31391.119999999999</v>
      </c>
      <c r="Z8" s="28">
        <v>-25627.5</v>
      </c>
      <c r="AA8" s="28">
        <v>-56574.01</v>
      </c>
      <c r="AB8" s="28">
        <v>-30764.76</v>
      </c>
      <c r="AC8" s="28">
        <v>-32089.02</v>
      </c>
      <c r="AD8" s="29">
        <v>-25916.1</v>
      </c>
      <c r="AE8" s="29">
        <v>-17145.55</v>
      </c>
      <c r="AF8" s="29">
        <v>-26926.959999999999</v>
      </c>
    </row>
    <row r="9" spans="1:32" x14ac:dyDescent="0.25">
      <c r="A9" s="31" t="s">
        <v>24</v>
      </c>
      <c r="B9" s="32">
        <v>-2696.55</v>
      </c>
      <c r="C9" s="32">
        <v>-7308.65</v>
      </c>
      <c r="D9" s="32">
        <v>-25550.82</v>
      </c>
      <c r="E9" s="32">
        <v>-29394.240000000002</v>
      </c>
      <c r="F9" s="32">
        <v>-8591.5499999999993</v>
      </c>
      <c r="G9" s="32">
        <v>-17006.810000000001</v>
      </c>
      <c r="H9" s="32">
        <v>-38376.019999999997</v>
      </c>
      <c r="I9" s="32">
        <v>-44634.12</v>
      </c>
      <c r="J9" s="32">
        <v>-6501.45</v>
      </c>
      <c r="K9" s="32">
        <v>-12504.58</v>
      </c>
      <c r="L9" s="32">
        <v>-11216.96</v>
      </c>
      <c r="M9" s="32">
        <v>-14022.93</v>
      </c>
      <c r="N9" s="32">
        <v>-16359.35</v>
      </c>
      <c r="O9" s="32">
        <v>-90652.37</v>
      </c>
      <c r="P9" s="32">
        <v>-44088.82</v>
      </c>
      <c r="Q9" s="32">
        <v>-40473.79</v>
      </c>
      <c r="R9" s="32">
        <v>-52531.47</v>
      </c>
      <c r="S9" s="32">
        <v>-13170.39</v>
      </c>
      <c r="T9" s="32">
        <v>-8279.2099999999991</v>
      </c>
      <c r="U9" s="32">
        <v>-23373.93</v>
      </c>
      <c r="V9" s="32">
        <v>-14784.69</v>
      </c>
      <c r="W9" s="32">
        <v>-22824.65</v>
      </c>
      <c r="X9" s="32">
        <v>-15213.47</v>
      </c>
      <c r="Y9" s="32">
        <v>-31391.119999999999</v>
      </c>
      <c r="Z9" s="32">
        <v>-25627.5</v>
      </c>
      <c r="AA9" s="32">
        <v>-56574.01</v>
      </c>
      <c r="AB9" s="32">
        <v>-30764.76</v>
      </c>
      <c r="AC9" s="32">
        <v>-32089.02</v>
      </c>
      <c r="AD9" s="33">
        <v>-25916.1</v>
      </c>
      <c r="AE9" s="33">
        <v>-17145.55</v>
      </c>
      <c r="AF9" s="33">
        <v>-26926.959999999999</v>
      </c>
    </row>
    <row r="10" spans="1:32" x14ac:dyDescent="0.25">
      <c r="A10" s="34" t="s">
        <v>122</v>
      </c>
      <c r="B10" s="35">
        <v>66518.06</v>
      </c>
      <c r="C10" s="35">
        <v>258852.24000000002</v>
      </c>
      <c r="D10" s="35">
        <v>240085.43</v>
      </c>
      <c r="E10" s="35">
        <v>48272.709999999992</v>
      </c>
      <c r="F10" s="35">
        <v>162427.63</v>
      </c>
      <c r="G10" s="35">
        <v>331629.19999999995</v>
      </c>
      <c r="H10" s="35">
        <v>312360.42</v>
      </c>
      <c r="I10" s="35">
        <v>14791.889999999992</v>
      </c>
      <c r="J10" s="35">
        <v>103127.22000000002</v>
      </c>
      <c r="K10" s="35">
        <v>81700.009999999995</v>
      </c>
      <c r="L10" s="35">
        <v>101814.36000000002</v>
      </c>
      <c r="M10" s="35">
        <v>96878.010000000009</v>
      </c>
      <c r="N10" s="35">
        <v>674091.58</v>
      </c>
      <c r="O10" s="35">
        <v>201479.69</v>
      </c>
      <c r="P10" s="35">
        <v>223439.77999999997</v>
      </c>
      <c r="Q10" s="35">
        <v>297061.98</v>
      </c>
      <c r="R10" s="35">
        <v>31881.989999999991</v>
      </c>
      <c r="S10" s="35">
        <v>42601.58</v>
      </c>
      <c r="T10" s="35">
        <v>157722.16</v>
      </c>
      <c r="U10" s="35">
        <v>82633.270000000019</v>
      </c>
      <c r="V10" s="35">
        <v>142802.21</v>
      </c>
      <c r="W10" s="35">
        <v>81046.570000000007</v>
      </c>
      <c r="X10" s="35">
        <v>200315.76</v>
      </c>
      <c r="Y10" s="35">
        <v>139236.06</v>
      </c>
      <c r="Z10" s="35">
        <v>347685.02</v>
      </c>
      <c r="AA10" s="35">
        <v>157953.79999999999</v>
      </c>
      <c r="AB10" s="35">
        <v>208202.32</v>
      </c>
      <c r="AC10" s="35">
        <v>164174.75000000003</v>
      </c>
      <c r="AD10" s="36">
        <v>102104.93</v>
      </c>
      <c r="AE10" s="36">
        <v>178667.24999999997</v>
      </c>
      <c r="AF10" s="36">
        <v>203167.74</v>
      </c>
    </row>
    <row r="11" spans="1:32" s="7" customFormat="1" x14ac:dyDescent="0.25">
      <c r="A11" s="27" t="s">
        <v>123</v>
      </c>
      <c r="B11" s="28">
        <v>-11492.48</v>
      </c>
      <c r="C11" s="28">
        <v>-14583.94</v>
      </c>
      <c r="D11" s="28">
        <v>-11488.820000000002</v>
      </c>
      <c r="E11" s="28">
        <v>-14709.59</v>
      </c>
      <c r="F11" s="28">
        <v>-17191.879999999997</v>
      </c>
      <c r="G11" s="28">
        <v>-18522.249999999996</v>
      </c>
      <c r="H11" s="28">
        <v>-18064.73</v>
      </c>
      <c r="I11" s="28">
        <v>-24779.18</v>
      </c>
      <c r="J11" s="28">
        <v>-14815.009999999998</v>
      </c>
      <c r="K11" s="28">
        <v>-13732.279999999999</v>
      </c>
      <c r="L11" s="28">
        <v>-17094.12</v>
      </c>
      <c r="M11" s="28">
        <v>-20009.490000000002</v>
      </c>
      <c r="N11" s="28">
        <v>-12394.97</v>
      </c>
      <c r="O11" s="28">
        <v>-20078.060000000001</v>
      </c>
      <c r="P11" s="28">
        <v>-6348.7699999999995</v>
      </c>
      <c r="Q11" s="28">
        <v>-12710.279999999999</v>
      </c>
      <c r="R11" s="28">
        <v>-14654.69</v>
      </c>
      <c r="S11" s="28">
        <v>-17422.73</v>
      </c>
      <c r="T11" s="28">
        <v>-25434.37</v>
      </c>
      <c r="U11" s="28">
        <v>-16475.169999999998</v>
      </c>
      <c r="V11" s="28">
        <v>-36530.19</v>
      </c>
      <c r="W11" s="28">
        <v>-19030.270000000004</v>
      </c>
      <c r="X11" s="28">
        <v>-27250.300000000003</v>
      </c>
      <c r="Y11" s="28">
        <v>-25627.119999999999</v>
      </c>
      <c r="Z11" s="28">
        <v>-20998.080000000002</v>
      </c>
      <c r="AA11" s="28">
        <v>-25835.879999999997</v>
      </c>
      <c r="AB11" s="28">
        <v>-22086.52</v>
      </c>
      <c r="AC11" s="28">
        <v>-23129.9</v>
      </c>
      <c r="AD11" s="29">
        <v>-23967.850000000002</v>
      </c>
      <c r="AE11" s="29">
        <v>-28221.720000000005</v>
      </c>
      <c r="AF11" s="29">
        <v>-39840.80000000001</v>
      </c>
    </row>
    <row r="12" spans="1:32" s="7" customFormat="1" x14ac:dyDescent="0.25">
      <c r="A12" s="30" t="s">
        <v>124</v>
      </c>
      <c r="B12" s="28">
        <v>-11492.48</v>
      </c>
      <c r="C12" s="28">
        <v>-14583.94</v>
      </c>
      <c r="D12" s="28">
        <v>-11488.820000000002</v>
      </c>
      <c r="E12" s="28">
        <v>-14709.59</v>
      </c>
      <c r="F12" s="28">
        <v>-17191.879999999997</v>
      </c>
      <c r="G12" s="28">
        <v>-18522.249999999996</v>
      </c>
      <c r="H12" s="28">
        <v>-18064.73</v>
      </c>
      <c r="I12" s="28">
        <v>-24779.18</v>
      </c>
      <c r="J12" s="28">
        <v>-14815.009999999998</v>
      </c>
      <c r="K12" s="28">
        <v>-13732.279999999999</v>
      </c>
      <c r="L12" s="28">
        <v>-17094.12</v>
      </c>
      <c r="M12" s="28">
        <v>-20009.490000000002</v>
      </c>
      <c r="N12" s="28">
        <v>-12394.97</v>
      </c>
      <c r="O12" s="28">
        <v>-20078.060000000001</v>
      </c>
      <c r="P12" s="28">
        <v>-6348.7699999999995</v>
      </c>
      <c r="Q12" s="28">
        <v>-12710.279999999999</v>
      </c>
      <c r="R12" s="28">
        <v>-14654.69</v>
      </c>
      <c r="S12" s="28">
        <v>-17422.73</v>
      </c>
      <c r="T12" s="28">
        <v>-25434.37</v>
      </c>
      <c r="U12" s="28">
        <v>-16475.169999999998</v>
      </c>
      <c r="V12" s="28">
        <v>-36530.19</v>
      </c>
      <c r="W12" s="28">
        <v>-19030.270000000004</v>
      </c>
      <c r="X12" s="28">
        <v>-27250.300000000003</v>
      </c>
      <c r="Y12" s="28">
        <v>-25627.119999999999</v>
      </c>
      <c r="Z12" s="28">
        <v>-20998.080000000002</v>
      </c>
      <c r="AA12" s="28">
        <v>-25835.879999999997</v>
      </c>
      <c r="AB12" s="28">
        <v>-22086.52</v>
      </c>
      <c r="AC12" s="28">
        <v>-23129.9</v>
      </c>
      <c r="AD12" s="29">
        <v>-23967.850000000002</v>
      </c>
      <c r="AE12" s="29">
        <v>-28221.720000000005</v>
      </c>
      <c r="AF12" s="29">
        <v>-39840.80000000001</v>
      </c>
    </row>
    <row r="13" spans="1:32" x14ac:dyDescent="0.25">
      <c r="A13" s="31" t="s">
        <v>27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-3250</v>
      </c>
      <c r="M13" s="37">
        <v>-3666.67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-790.74</v>
      </c>
      <c r="Y13" s="37">
        <v>-1159.74</v>
      </c>
      <c r="Z13" s="37">
        <v>0</v>
      </c>
      <c r="AA13" s="37">
        <v>0</v>
      </c>
      <c r="AB13" s="37">
        <v>0</v>
      </c>
      <c r="AC13" s="37">
        <v>0</v>
      </c>
      <c r="AD13" s="38">
        <v>0</v>
      </c>
      <c r="AE13" s="38"/>
      <c r="AF13" s="38"/>
    </row>
    <row r="14" spans="1:32" x14ac:dyDescent="0.25">
      <c r="A14" s="31" t="s">
        <v>28</v>
      </c>
      <c r="B14" s="37">
        <v>-1320</v>
      </c>
      <c r="C14" s="37">
        <v>-444</v>
      </c>
      <c r="D14" s="37">
        <v>-1624.8</v>
      </c>
      <c r="E14" s="37">
        <v>-2824</v>
      </c>
      <c r="F14" s="37">
        <v>-2824</v>
      </c>
      <c r="G14" s="37">
        <v>-2824</v>
      </c>
      <c r="H14" s="37">
        <v>-2824</v>
      </c>
      <c r="I14" s="37">
        <v>-2824</v>
      </c>
      <c r="J14" s="37">
        <v>-2824</v>
      </c>
      <c r="K14" s="37">
        <v>-2809</v>
      </c>
      <c r="L14" s="37">
        <v>-2824</v>
      </c>
      <c r="M14" s="37">
        <v>-2824</v>
      </c>
      <c r="N14" s="37">
        <v>-1412</v>
      </c>
      <c r="O14" s="37">
        <v>-2783</v>
      </c>
      <c r="P14" s="37">
        <v>0</v>
      </c>
      <c r="Q14" s="37">
        <v>-1518</v>
      </c>
      <c r="R14" s="37">
        <v>-1518</v>
      </c>
      <c r="S14" s="37">
        <v>-1771</v>
      </c>
      <c r="T14" s="37">
        <v>-3036</v>
      </c>
      <c r="U14" s="37">
        <v>-2277</v>
      </c>
      <c r="V14" s="37">
        <v>-3036</v>
      </c>
      <c r="W14" s="37">
        <v>-3036</v>
      </c>
      <c r="X14" s="37">
        <v>-3036</v>
      </c>
      <c r="Y14" s="37">
        <v>-1518</v>
      </c>
      <c r="Z14" s="37">
        <v>-1518</v>
      </c>
      <c r="AA14" s="37">
        <v>-1350</v>
      </c>
      <c r="AB14" s="37">
        <v>-1621</v>
      </c>
      <c r="AC14" s="37">
        <v>0</v>
      </c>
      <c r="AD14" s="38">
        <v>-432</v>
      </c>
      <c r="AE14" s="38">
        <v>-1620</v>
      </c>
      <c r="AF14" s="38">
        <v>-1620</v>
      </c>
    </row>
    <row r="15" spans="1:32" x14ac:dyDescent="0.25">
      <c r="A15" s="31" t="s">
        <v>26</v>
      </c>
      <c r="B15" s="37">
        <v>-4527.5</v>
      </c>
      <c r="C15" s="37">
        <v>-7015</v>
      </c>
      <c r="D15" s="37">
        <v>-340</v>
      </c>
      <c r="E15" s="37">
        <v>-340</v>
      </c>
      <c r="F15" s="37">
        <v>0</v>
      </c>
      <c r="G15" s="37">
        <v>-850</v>
      </c>
      <c r="H15" s="37">
        <v>-850</v>
      </c>
      <c r="I15" s="37">
        <v>-3400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-5100</v>
      </c>
      <c r="U15" s="37">
        <v>0</v>
      </c>
      <c r="V15" s="37">
        <v>-1190</v>
      </c>
      <c r="W15" s="37">
        <v>0</v>
      </c>
      <c r="X15" s="37">
        <v>0</v>
      </c>
      <c r="Y15" s="37">
        <v>0</v>
      </c>
      <c r="Z15" s="37">
        <v>0</v>
      </c>
      <c r="AA15" s="37">
        <v>-5040</v>
      </c>
      <c r="AB15" s="37">
        <v>0</v>
      </c>
      <c r="AC15" s="37">
        <v>0</v>
      </c>
      <c r="AD15" s="38">
        <v>0</v>
      </c>
      <c r="AE15" s="38"/>
      <c r="AF15" s="38">
        <v>-11760</v>
      </c>
    </row>
    <row r="16" spans="1:32" x14ac:dyDescent="0.25">
      <c r="A16" s="31" t="s">
        <v>29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-49.6</v>
      </c>
      <c r="P16" s="37">
        <v>-49.6</v>
      </c>
      <c r="Q16" s="37">
        <v>-49.6</v>
      </c>
      <c r="R16" s="37">
        <v>-49.6</v>
      </c>
      <c r="S16" s="37">
        <v>-49.6</v>
      </c>
      <c r="T16" s="37">
        <v>-49.6</v>
      </c>
      <c r="U16" s="37">
        <v>-49.6</v>
      </c>
      <c r="V16" s="37">
        <v>-49.6</v>
      </c>
      <c r="W16" s="37">
        <v>-49.6</v>
      </c>
      <c r="X16" s="37">
        <v>-49.6</v>
      </c>
      <c r="Y16" s="37">
        <v>-49.6</v>
      </c>
      <c r="Z16" s="37">
        <v>-49.6</v>
      </c>
      <c r="AA16" s="37">
        <v>0</v>
      </c>
      <c r="AB16" s="37">
        <v>0</v>
      </c>
      <c r="AC16" s="37">
        <v>0</v>
      </c>
      <c r="AD16" s="38">
        <v>-75.040000000000006</v>
      </c>
      <c r="AE16" s="38">
        <v>-75.03</v>
      </c>
      <c r="AF16" s="38"/>
    </row>
    <row r="17" spans="1:32" x14ac:dyDescent="0.25">
      <c r="A17" s="31" t="s">
        <v>31</v>
      </c>
      <c r="B17" s="37">
        <v>-1320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-253</v>
      </c>
      <c r="P17" s="37">
        <v>0</v>
      </c>
      <c r="Q17" s="37">
        <v>0</v>
      </c>
      <c r="R17" s="37">
        <v>0</v>
      </c>
      <c r="S17" s="37">
        <v>0</v>
      </c>
      <c r="T17" s="37">
        <v>-759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-271</v>
      </c>
      <c r="AA17" s="37">
        <v>0</v>
      </c>
      <c r="AB17" s="37">
        <v>0</v>
      </c>
      <c r="AC17" s="37">
        <v>0</v>
      </c>
      <c r="AD17" s="38">
        <v>0</v>
      </c>
      <c r="AE17" s="38"/>
      <c r="AF17" s="38"/>
    </row>
    <row r="18" spans="1:32" x14ac:dyDescent="0.25">
      <c r="A18" s="31" t="s">
        <v>30</v>
      </c>
      <c r="B18" s="37">
        <v>0</v>
      </c>
      <c r="C18" s="37">
        <v>0</v>
      </c>
      <c r="D18" s="37">
        <v>0</v>
      </c>
      <c r="E18" s="37">
        <v>-32</v>
      </c>
      <c r="F18" s="37">
        <v>-160</v>
      </c>
      <c r="G18" s="37">
        <v>-160</v>
      </c>
      <c r="H18" s="37">
        <v>-160</v>
      </c>
      <c r="I18" s="37">
        <v>-814.02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-46</v>
      </c>
      <c r="T18" s="37">
        <v>-210.85</v>
      </c>
      <c r="U18" s="37">
        <v>0</v>
      </c>
      <c r="V18" s="37">
        <v>0</v>
      </c>
      <c r="W18" s="37">
        <v>-362.68</v>
      </c>
      <c r="X18" s="37">
        <v>-506.06</v>
      </c>
      <c r="Y18" s="37">
        <v>-569.29999999999995</v>
      </c>
      <c r="Z18" s="37">
        <v>-611.48</v>
      </c>
      <c r="AA18" s="37">
        <v>-506.06</v>
      </c>
      <c r="AB18" s="37">
        <v>-533.9</v>
      </c>
      <c r="AC18" s="37">
        <v>-570.36</v>
      </c>
      <c r="AD18" s="38">
        <v>-664.09</v>
      </c>
      <c r="AE18" s="38">
        <v>-786.86</v>
      </c>
      <c r="AF18" s="38">
        <v>-834.86</v>
      </c>
    </row>
    <row r="19" spans="1:32" x14ac:dyDescent="0.25">
      <c r="A19" s="31" t="s">
        <v>32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-4061.27</v>
      </c>
      <c r="J19" s="37">
        <v>0</v>
      </c>
      <c r="K19" s="37">
        <v>0</v>
      </c>
      <c r="L19" s="37">
        <v>0</v>
      </c>
      <c r="M19" s="37">
        <v>-1600.27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-697.26</v>
      </c>
      <c r="U19" s="37">
        <v>0</v>
      </c>
      <c r="V19" s="37">
        <v>0</v>
      </c>
      <c r="W19" s="37">
        <v>0</v>
      </c>
      <c r="X19" s="37">
        <v>-1907.8</v>
      </c>
      <c r="Y19" s="37">
        <v>0</v>
      </c>
      <c r="Z19" s="37">
        <v>0</v>
      </c>
      <c r="AA19" s="37">
        <v>0</v>
      </c>
      <c r="AB19" s="37">
        <v>-628.03</v>
      </c>
      <c r="AC19" s="37">
        <v>0</v>
      </c>
      <c r="AD19" s="38">
        <v>0</v>
      </c>
      <c r="AE19" s="38"/>
      <c r="AF19" s="38"/>
    </row>
    <row r="20" spans="1:32" x14ac:dyDescent="0.25">
      <c r="A20" s="31" t="s">
        <v>33</v>
      </c>
      <c r="B20" s="37">
        <v>-409.2</v>
      </c>
      <c r="C20" s="37">
        <v>-437.72</v>
      </c>
      <c r="D20" s="37">
        <v>-437.72</v>
      </c>
      <c r="E20" s="37">
        <v>-551.72</v>
      </c>
      <c r="F20" s="37">
        <v>-1016.54</v>
      </c>
      <c r="G20" s="37">
        <v>-1016.54</v>
      </c>
      <c r="H20" s="37">
        <v>-1016.54</v>
      </c>
      <c r="I20" s="37">
        <v>-1016.54</v>
      </c>
      <c r="J20" s="37">
        <v>-846.21</v>
      </c>
      <c r="K20" s="37">
        <v>-437.72</v>
      </c>
      <c r="L20" s="37">
        <v>-437.72</v>
      </c>
      <c r="M20" s="37">
        <v>-437.72</v>
      </c>
      <c r="N20" s="37">
        <v>-437.72</v>
      </c>
      <c r="O20" s="37">
        <v>-470.58</v>
      </c>
      <c r="P20" s="37">
        <v>-470.58</v>
      </c>
      <c r="Q20" s="37">
        <v>-470.58</v>
      </c>
      <c r="R20" s="37">
        <v>-470.58</v>
      </c>
      <c r="S20" s="37">
        <v>-634.47</v>
      </c>
      <c r="T20" s="37">
        <v>-1234.93</v>
      </c>
      <c r="U20" s="37">
        <v>-470.58</v>
      </c>
      <c r="V20" s="37">
        <v>-470.58</v>
      </c>
      <c r="W20" s="37">
        <v>-1786.67</v>
      </c>
      <c r="X20" s="37">
        <v>-2344.9</v>
      </c>
      <c r="Y20" s="37">
        <v>-2964.88</v>
      </c>
      <c r="Z20" s="37">
        <v>-2363.94</v>
      </c>
      <c r="AA20" s="37">
        <v>-2335.58</v>
      </c>
      <c r="AB20" s="37">
        <v>-2448.65</v>
      </c>
      <c r="AC20" s="37">
        <v>-2576.2800000000002</v>
      </c>
      <c r="AD20" s="38">
        <v>-2904.36</v>
      </c>
      <c r="AE20" s="38">
        <v>-3364.88</v>
      </c>
      <c r="AF20" s="38">
        <v>-3559.88</v>
      </c>
    </row>
    <row r="21" spans="1:32" x14ac:dyDescent="0.25">
      <c r="A21" s="31" t="s">
        <v>25</v>
      </c>
      <c r="B21" s="37">
        <v>-137.79</v>
      </c>
      <c r="C21" s="37">
        <v>-137.79</v>
      </c>
      <c r="D21" s="37">
        <v>-137.79</v>
      </c>
      <c r="E21" s="37">
        <v>-160.29</v>
      </c>
      <c r="F21" s="37">
        <v>-182.79</v>
      </c>
      <c r="G21" s="37">
        <v>-182.79</v>
      </c>
      <c r="H21" s="37">
        <v>-188.1</v>
      </c>
      <c r="I21" s="37">
        <v>-188.1</v>
      </c>
      <c r="J21" s="37">
        <v>-188.1</v>
      </c>
      <c r="K21" s="37">
        <v>-212.1</v>
      </c>
      <c r="L21" s="37">
        <v>-233.1</v>
      </c>
      <c r="M21" s="37">
        <v>-194.2</v>
      </c>
      <c r="N21" s="37">
        <v>-253.1</v>
      </c>
      <c r="O21" s="37">
        <v>-253.1</v>
      </c>
      <c r="P21" s="37">
        <v>-253.1</v>
      </c>
      <c r="Q21" s="37">
        <v>-253.1</v>
      </c>
      <c r="R21" s="37">
        <v>-253.1</v>
      </c>
      <c r="S21" s="37">
        <v>-253.1</v>
      </c>
      <c r="T21" s="37">
        <v>-272.52</v>
      </c>
      <c r="U21" s="37">
        <v>-304.64999999999998</v>
      </c>
      <c r="V21" s="37">
        <v>-317.52</v>
      </c>
      <c r="W21" s="37">
        <v>-317.52</v>
      </c>
      <c r="X21" s="37">
        <v>-317.52</v>
      </c>
      <c r="Y21" s="37">
        <v>-317.52</v>
      </c>
      <c r="Z21" s="37">
        <v>-317.52</v>
      </c>
      <c r="AA21" s="37">
        <v>-317.52</v>
      </c>
      <c r="AB21" s="37">
        <v>-317.52</v>
      </c>
      <c r="AC21" s="37">
        <v>-1585.7399999999998</v>
      </c>
      <c r="AD21" s="38">
        <v>-420.76</v>
      </c>
      <c r="AE21" s="38">
        <v>-447.52</v>
      </c>
      <c r="AF21" s="38">
        <v>-478.38</v>
      </c>
    </row>
    <row r="22" spans="1:32" x14ac:dyDescent="0.25">
      <c r="A22" s="31" t="s">
        <v>34</v>
      </c>
      <c r="B22" s="37">
        <v>0</v>
      </c>
      <c r="C22" s="37">
        <v>0</v>
      </c>
      <c r="D22" s="37">
        <v>-60</v>
      </c>
      <c r="E22" s="37">
        <v>-45</v>
      </c>
      <c r="F22" s="37">
        <v>0</v>
      </c>
      <c r="G22" s="37">
        <v>0</v>
      </c>
      <c r="H22" s="37">
        <v>0</v>
      </c>
      <c r="I22" s="37">
        <v>0</v>
      </c>
      <c r="J22" s="37">
        <v>-40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-96</v>
      </c>
      <c r="X22" s="37">
        <v>0</v>
      </c>
      <c r="Y22" s="37">
        <v>-48</v>
      </c>
      <c r="Z22" s="37">
        <v>0</v>
      </c>
      <c r="AA22" s="37">
        <v>0</v>
      </c>
      <c r="AB22" s="37">
        <v>0</v>
      </c>
      <c r="AC22" s="37">
        <v>-96</v>
      </c>
      <c r="AD22" s="38">
        <v>-96</v>
      </c>
      <c r="AE22" s="38">
        <v>-143</v>
      </c>
      <c r="AF22" s="38">
        <v>-143</v>
      </c>
    </row>
    <row r="23" spans="1:32" x14ac:dyDescent="0.25">
      <c r="A23" s="31" t="s">
        <v>35</v>
      </c>
      <c r="B23" s="37">
        <v>-2962.65</v>
      </c>
      <c r="C23" s="37">
        <v>-3462.65</v>
      </c>
      <c r="D23" s="37">
        <v>-3462.65</v>
      </c>
      <c r="E23" s="37">
        <v>-6057.48</v>
      </c>
      <c r="F23" s="37">
        <v>-7015.62</v>
      </c>
      <c r="G23" s="37">
        <v>-6971.4400000000005</v>
      </c>
      <c r="H23" s="37">
        <v>-6873.32</v>
      </c>
      <c r="I23" s="37">
        <v>-7018.03</v>
      </c>
      <c r="J23" s="37">
        <v>-7005.03</v>
      </c>
      <c r="K23" s="37">
        <v>-6974.4400000000005</v>
      </c>
      <c r="L23" s="37">
        <v>-7880.23</v>
      </c>
      <c r="M23" s="37">
        <v>-8365.73</v>
      </c>
      <c r="N23" s="37">
        <v>-7404.87</v>
      </c>
      <c r="O23" s="37">
        <v>-13766.91</v>
      </c>
      <c r="P23" s="37">
        <v>-1200</v>
      </c>
      <c r="Q23" s="37">
        <v>-7474.0499999999993</v>
      </c>
      <c r="R23" s="37">
        <v>-7458.04</v>
      </c>
      <c r="S23" s="37">
        <v>-8958.0399999999991</v>
      </c>
      <c r="T23" s="37">
        <v>-8963.34</v>
      </c>
      <c r="U23" s="37">
        <v>-9491.17</v>
      </c>
      <c r="V23" s="37">
        <v>-24486.13</v>
      </c>
      <c r="W23" s="37">
        <v>-3195.44</v>
      </c>
      <c r="X23" s="37">
        <v>-8678.57</v>
      </c>
      <c r="Y23" s="37">
        <v>-9678.57</v>
      </c>
      <c r="Z23" s="37">
        <v>-6428.57</v>
      </c>
      <c r="AA23" s="37">
        <v>-6443.79</v>
      </c>
      <c r="AB23" s="37">
        <v>-6432.44</v>
      </c>
      <c r="AC23" s="37">
        <v>-6411.33</v>
      </c>
      <c r="AD23" s="38">
        <v>-6218.99</v>
      </c>
      <c r="AE23" s="38">
        <v>-6411.33</v>
      </c>
      <c r="AF23" s="38">
        <v>-6411.33</v>
      </c>
    </row>
    <row r="24" spans="1:32" x14ac:dyDescent="0.25">
      <c r="A24" s="31" t="s">
        <v>36</v>
      </c>
      <c r="B24" s="37">
        <v>0</v>
      </c>
      <c r="C24" s="37">
        <v>-390</v>
      </c>
      <c r="D24" s="37">
        <v>-390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8">
        <v>0</v>
      </c>
      <c r="AE24" s="38"/>
      <c r="AF24" s="38"/>
    </row>
    <row r="25" spans="1:32" x14ac:dyDescent="0.25">
      <c r="A25" s="31" t="s">
        <v>37</v>
      </c>
      <c r="B25" s="37">
        <v>0</v>
      </c>
      <c r="C25" s="37">
        <v>0</v>
      </c>
      <c r="D25" s="37">
        <v>0</v>
      </c>
      <c r="E25" s="37">
        <v>-369</v>
      </c>
      <c r="F25" s="37">
        <v>-1841.18</v>
      </c>
      <c r="G25" s="37">
        <v>-1841.18</v>
      </c>
      <c r="H25" s="37">
        <v>-1841.18</v>
      </c>
      <c r="I25" s="37">
        <v>-1841.18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-1681.1100000000001</v>
      </c>
      <c r="T25" s="37">
        <v>0</v>
      </c>
      <c r="U25" s="37">
        <v>0</v>
      </c>
      <c r="V25" s="37">
        <v>0</v>
      </c>
      <c r="W25" s="37">
        <v>-5433.5</v>
      </c>
      <c r="X25" s="37">
        <v>-5759</v>
      </c>
      <c r="Y25" s="37">
        <v>-5759</v>
      </c>
      <c r="Z25" s="37">
        <v>-5778</v>
      </c>
      <c r="AA25" s="37">
        <v>-5788</v>
      </c>
      <c r="AB25" s="37">
        <v>-6015.2000000000007</v>
      </c>
      <c r="AC25" s="37">
        <v>-5787</v>
      </c>
      <c r="AD25" s="38">
        <v>-7280</v>
      </c>
      <c r="AE25" s="38">
        <v>-8759</v>
      </c>
      <c r="AF25" s="38">
        <v>-9422</v>
      </c>
    </row>
    <row r="26" spans="1:32" x14ac:dyDescent="0.25">
      <c r="A26" s="31" t="s">
        <v>38</v>
      </c>
      <c r="B26" s="37">
        <v>-5.9</v>
      </c>
      <c r="C26" s="37">
        <v>-12.34</v>
      </c>
      <c r="D26" s="37">
        <v>-6.17</v>
      </c>
      <c r="E26" s="37">
        <v>-18.510000000000002</v>
      </c>
      <c r="F26" s="37">
        <v>-18.510000000000002</v>
      </c>
      <c r="G26" s="37">
        <v>-18.510000000000002</v>
      </c>
      <c r="H26" s="37">
        <v>0</v>
      </c>
      <c r="I26" s="37">
        <v>-34.700000000000003</v>
      </c>
      <c r="J26" s="37">
        <v>-13.88</v>
      </c>
      <c r="K26" s="37">
        <v>-13.88</v>
      </c>
      <c r="L26" s="37">
        <v>-13.88</v>
      </c>
      <c r="M26" s="37">
        <v>-13.88</v>
      </c>
      <c r="N26" s="37">
        <v>-14.48</v>
      </c>
      <c r="O26" s="37">
        <v>-14.48</v>
      </c>
      <c r="P26" s="37">
        <v>0</v>
      </c>
      <c r="Q26" s="37">
        <v>-28.96</v>
      </c>
      <c r="R26" s="37">
        <v>-14.48</v>
      </c>
      <c r="S26" s="37">
        <v>-21.72</v>
      </c>
      <c r="T26" s="37">
        <v>-14.48</v>
      </c>
      <c r="U26" s="37">
        <v>-14.48</v>
      </c>
      <c r="V26" s="37">
        <v>-21.72</v>
      </c>
      <c r="W26" s="37">
        <v>-21.72</v>
      </c>
      <c r="X26" s="37">
        <v>-21.72</v>
      </c>
      <c r="Y26" s="37">
        <v>-21.72</v>
      </c>
      <c r="Z26" s="37">
        <v>-27.18</v>
      </c>
      <c r="AA26" s="37">
        <v>-22.83</v>
      </c>
      <c r="AB26" s="37">
        <v>-27.18</v>
      </c>
      <c r="AC26" s="37">
        <v>-36.24</v>
      </c>
      <c r="AD26" s="38">
        <v>-54.36</v>
      </c>
      <c r="AE26" s="38">
        <v>-45.3</v>
      </c>
      <c r="AF26" s="38">
        <v>-45.3</v>
      </c>
    </row>
    <row r="27" spans="1:32" x14ac:dyDescent="0.25">
      <c r="A27" s="31" t="s">
        <v>39</v>
      </c>
      <c r="B27" s="37">
        <v>-12.74</v>
      </c>
      <c r="C27" s="37">
        <v>-29.240000000000002</v>
      </c>
      <c r="D27" s="37">
        <v>-29.240000000000002</v>
      </c>
      <c r="E27" s="37">
        <v>-29.240000000000002</v>
      </c>
      <c r="F27" s="37">
        <v>-29.240000000000002</v>
      </c>
      <c r="G27" s="37">
        <v>-29.240000000000002</v>
      </c>
      <c r="H27" s="37">
        <v>-29.240000000000002</v>
      </c>
      <c r="I27" s="37">
        <v>-29.240000000000002</v>
      </c>
      <c r="J27" s="37">
        <v>-29.240000000000002</v>
      </c>
      <c r="K27" s="37">
        <v>-29.240000000000002</v>
      </c>
      <c r="L27" s="37">
        <v>-29.240000000000002</v>
      </c>
      <c r="M27" s="37">
        <v>-29.82</v>
      </c>
      <c r="N27" s="37">
        <v>-16.5</v>
      </c>
      <c r="O27" s="37">
        <v>-17.29</v>
      </c>
      <c r="P27" s="37">
        <v>-17.29</v>
      </c>
      <c r="Q27" s="37">
        <v>-17.29</v>
      </c>
      <c r="R27" s="37">
        <v>-17.29</v>
      </c>
      <c r="S27" s="37">
        <v>-33.79</v>
      </c>
      <c r="T27" s="37">
        <v>-33.79</v>
      </c>
      <c r="U27" s="37">
        <v>-33.79</v>
      </c>
      <c r="V27" s="37">
        <v>-33.79</v>
      </c>
      <c r="W27" s="37">
        <v>-33.79</v>
      </c>
      <c r="X27" s="37">
        <v>-33.79</v>
      </c>
      <c r="Y27" s="37">
        <v>-33.79</v>
      </c>
      <c r="Z27" s="37">
        <v>-33.79</v>
      </c>
      <c r="AA27" s="37">
        <v>-16.5</v>
      </c>
      <c r="AB27" s="37">
        <v>-16.5</v>
      </c>
      <c r="AC27" s="37">
        <v>-16.5</v>
      </c>
      <c r="AD27" s="38">
        <v>0</v>
      </c>
      <c r="AE27" s="38"/>
      <c r="AF27" s="38"/>
    </row>
    <row r="28" spans="1:32" x14ac:dyDescent="0.25">
      <c r="A28" s="31" t="s">
        <v>40</v>
      </c>
      <c r="B28" s="37">
        <v>-300</v>
      </c>
      <c r="C28" s="37">
        <v>-1680</v>
      </c>
      <c r="D28" s="37">
        <v>-3075</v>
      </c>
      <c r="E28" s="37">
        <v>-2625</v>
      </c>
      <c r="F28" s="37">
        <v>-2500</v>
      </c>
      <c r="G28" s="37">
        <v>-2875</v>
      </c>
      <c r="H28" s="37">
        <v>-2625</v>
      </c>
      <c r="I28" s="37">
        <v>-2100</v>
      </c>
      <c r="J28" s="37">
        <v>-2315</v>
      </c>
      <c r="K28" s="37">
        <v>-1900</v>
      </c>
      <c r="L28" s="37">
        <v>-1350</v>
      </c>
      <c r="M28" s="37">
        <v>-1650</v>
      </c>
      <c r="N28" s="37">
        <v>-1650</v>
      </c>
      <c r="O28" s="37">
        <v>-1430</v>
      </c>
      <c r="P28" s="37">
        <v>-3300</v>
      </c>
      <c r="Q28" s="37">
        <v>-1732.5</v>
      </c>
      <c r="R28" s="37">
        <v>-3005</v>
      </c>
      <c r="S28" s="37">
        <v>-2502.5</v>
      </c>
      <c r="T28" s="37">
        <v>-3850</v>
      </c>
      <c r="U28" s="37">
        <v>-2420</v>
      </c>
      <c r="V28" s="37">
        <v>-4431.25</v>
      </c>
      <c r="W28" s="37">
        <v>-3073.75</v>
      </c>
      <c r="X28" s="37">
        <v>-2420</v>
      </c>
      <c r="Y28" s="37">
        <v>-2299</v>
      </c>
      <c r="Z28" s="37">
        <v>-2318</v>
      </c>
      <c r="AA28" s="37">
        <v>-2622</v>
      </c>
      <c r="AB28" s="37">
        <v>-2541</v>
      </c>
      <c r="AC28" s="37">
        <v>-3578.75</v>
      </c>
      <c r="AD28" s="38">
        <v>-3176.25</v>
      </c>
      <c r="AE28" s="38">
        <v>-3567</v>
      </c>
      <c r="AF28" s="38">
        <v>-3276.25</v>
      </c>
    </row>
    <row r="29" spans="1:32" x14ac:dyDescent="0.25">
      <c r="A29" s="31" t="s">
        <v>41</v>
      </c>
      <c r="B29" s="37">
        <v>-496.7</v>
      </c>
      <c r="C29" s="37">
        <v>-975.2</v>
      </c>
      <c r="D29" s="37">
        <v>-1925.45</v>
      </c>
      <c r="E29" s="37">
        <v>-1657.35</v>
      </c>
      <c r="F29" s="37">
        <v>-1604</v>
      </c>
      <c r="G29" s="37">
        <v>-1753.55</v>
      </c>
      <c r="H29" s="37">
        <v>-1657.35</v>
      </c>
      <c r="I29" s="37">
        <v>-1452.1</v>
      </c>
      <c r="J29" s="37">
        <v>-1553.55</v>
      </c>
      <c r="K29" s="37">
        <v>-1355.9</v>
      </c>
      <c r="L29" s="37">
        <v>-1075.95</v>
      </c>
      <c r="M29" s="37">
        <v>-1227.2</v>
      </c>
      <c r="N29" s="37">
        <v>-1206.3</v>
      </c>
      <c r="O29" s="37">
        <v>-1040.0999999999999</v>
      </c>
      <c r="P29" s="37">
        <v>-1058.2</v>
      </c>
      <c r="Q29" s="37">
        <v>-1166.2</v>
      </c>
      <c r="R29" s="37">
        <v>-1868.6000000000001</v>
      </c>
      <c r="S29" s="37">
        <v>-1471.4</v>
      </c>
      <c r="T29" s="37">
        <v>-1212.5999999999999</v>
      </c>
      <c r="U29" s="37">
        <v>-1413.9</v>
      </c>
      <c r="V29" s="37">
        <v>-2493.6000000000004</v>
      </c>
      <c r="W29" s="37">
        <v>-1623.6</v>
      </c>
      <c r="X29" s="37">
        <v>-1384.6</v>
      </c>
      <c r="Y29" s="37">
        <v>-1208</v>
      </c>
      <c r="Z29" s="37">
        <v>-1281</v>
      </c>
      <c r="AA29" s="37">
        <v>-1393.6</v>
      </c>
      <c r="AB29" s="37">
        <v>-1505.1</v>
      </c>
      <c r="AC29" s="37">
        <v>-2471.6999999999998</v>
      </c>
      <c r="AD29" s="38">
        <v>-2646</v>
      </c>
      <c r="AE29" s="38">
        <v>-3001.8</v>
      </c>
      <c r="AF29" s="38">
        <v>-2289.8000000000002</v>
      </c>
    </row>
    <row r="30" spans="1:32" x14ac:dyDescent="0.25">
      <c r="A30" s="34" t="s">
        <v>125</v>
      </c>
      <c r="B30" s="39">
        <v>55025.58</v>
      </c>
      <c r="C30" s="39">
        <v>244268.30000000002</v>
      </c>
      <c r="D30" s="39">
        <v>228596.61</v>
      </c>
      <c r="E30" s="39">
        <v>33563.119999999995</v>
      </c>
      <c r="F30" s="39">
        <v>145235.75</v>
      </c>
      <c r="G30" s="39">
        <v>313106.94999999995</v>
      </c>
      <c r="H30" s="39">
        <v>294295.69</v>
      </c>
      <c r="I30" s="39">
        <v>-9987.2900000000081</v>
      </c>
      <c r="J30" s="39">
        <v>88312.210000000021</v>
      </c>
      <c r="K30" s="39">
        <v>67967.73</v>
      </c>
      <c r="L30" s="39">
        <v>84720.24000000002</v>
      </c>
      <c r="M30" s="39">
        <v>76868.52</v>
      </c>
      <c r="N30" s="39">
        <v>661696.61</v>
      </c>
      <c r="O30" s="39">
        <v>181401.63</v>
      </c>
      <c r="P30" s="39">
        <v>217091.00999999998</v>
      </c>
      <c r="Q30" s="39">
        <v>284351.69999999995</v>
      </c>
      <c r="R30" s="39">
        <v>17227.299999999988</v>
      </c>
      <c r="S30" s="39">
        <v>25178.850000000002</v>
      </c>
      <c r="T30" s="39">
        <v>132287.79</v>
      </c>
      <c r="U30" s="39">
        <v>66158.10000000002</v>
      </c>
      <c r="V30" s="39">
        <v>106272.01999999999</v>
      </c>
      <c r="W30" s="39">
        <v>62016.3</v>
      </c>
      <c r="X30" s="39">
        <v>173065.46000000002</v>
      </c>
      <c r="Y30" s="39">
        <v>113608.94</v>
      </c>
      <c r="Z30" s="39">
        <v>326686.94</v>
      </c>
      <c r="AA30" s="39">
        <v>132117.91999999998</v>
      </c>
      <c r="AB30" s="39">
        <v>186115.80000000002</v>
      </c>
      <c r="AC30" s="39">
        <v>141044.85000000003</v>
      </c>
      <c r="AD30" s="40">
        <v>78137.079999999987</v>
      </c>
      <c r="AE30" s="40">
        <v>150445.52999999997</v>
      </c>
      <c r="AF30" s="40">
        <v>163326.93999999997</v>
      </c>
    </row>
    <row r="31" spans="1:32" x14ac:dyDescent="0.25">
      <c r="A31" s="34" t="s">
        <v>126</v>
      </c>
      <c r="B31" s="41">
        <f>B30/B10</f>
        <v>0.82722767320634427</v>
      </c>
      <c r="C31" s="41">
        <f t="shared" ref="C31:AF31" si="0">C30/C10</f>
        <v>0.9436592088212179</v>
      </c>
      <c r="D31" s="41">
        <f t="shared" si="0"/>
        <v>0.95214695035846197</v>
      </c>
      <c r="E31" s="41">
        <f t="shared" si="0"/>
        <v>0.69528145405551089</v>
      </c>
      <c r="F31" s="41">
        <f t="shared" si="0"/>
        <v>0.89415667765391882</v>
      </c>
      <c r="G31" s="41">
        <f t="shared" si="0"/>
        <v>0.94414771075647141</v>
      </c>
      <c r="H31" s="41">
        <f t="shared" si="0"/>
        <v>0.94216703255809431</v>
      </c>
      <c r="I31" s="41">
        <f t="shared" si="0"/>
        <v>-0.67518687605167516</v>
      </c>
      <c r="J31" s="41">
        <f t="shared" si="0"/>
        <v>0.85634238952625708</v>
      </c>
      <c r="K31" s="41">
        <f t="shared" si="0"/>
        <v>0.83191825802714103</v>
      </c>
      <c r="L31" s="41">
        <f t="shared" si="0"/>
        <v>0.83210501937054859</v>
      </c>
      <c r="M31" s="41">
        <f t="shared" si="0"/>
        <v>0.79345684330221067</v>
      </c>
      <c r="N31" s="41">
        <f t="shared" si="0"/>
        <v>0.98161233522602376</v>
      </c>
      <c r="O31" s="41">
        <f t="shared" si="0"/>
        <v>0.90034697790134577</v>
      </c>
      <c r="P31" s="41">
        <f t="shared" si="0"/>
        <v>0.9715862144153562</v>
      </c>
      <c r="Q31" s="41">
        <f t="shared" si="0"/>
        <v>0.95721337345156043</v>
      </c>
      <c r="R31" s="41">
        <f t="shared" si="0"/>
        <v>0.54034581906587364</v>
      </c>
      <c r="S31" s="41">
        <f t="shared" si="0"/>
        <v>0.59103089603718928</v>
      </c>
      <c r="T31" s="41">
        <f t="shared" si="0"/>
        <v>0.83873940098208144</v>
      </c>
      <c r="U31" s="41">
        <f t="shared" si="0"/>
        <v>0.80062304202653489</v>
      </c>
      <c r="V31" s="41">
        <f t="shared" si="0"/>
        <v>0.74419030349740378</v>
      </c>
      <c r="W31" s="41">
        <f t="shared" si="0"/>
        <v>0.76519339436573319</v>
      </c>
      <c r="X31" s="41">
        <f t="shared" si="0"/>
        <v>0.86396327478177459</v>
      </c>
      <c r="Y31" s="41">
        <f t="shared" si="0"/>
        <v>0.81594480625205856</v>
      </c>
      <c r="Z31" s="41">
        <f t="shared" si="0"/>
        <v>0.93960602616701749</v>
      </c>
      <c r="AA31" s="41">
        <f t="shared" si="0"/>
        <v>0.83643394460911979</v>
      </c>
      <c r="AB31" s="41">
        <f t="shared" si="0"/>
        <v>0.89391799284465234</v>
      </c>
      <c r="AC31" s="41">
        <f t="shared" si="0"/>
        <v>0.85911414514107687</v>
      </c>
      <c r="AD31" s="42">
        <f t="shared" si="0"/>
        <v>0.76526255882061711</v>
      </c>
      <c r="AE31" s="42">
        <f t="shared" ref="AE31:AF31" si="1">AE30/AE10</f>
        <v>0.84204312765769884</v>
      </c>
      <c r="AF31" s="42">
        <f t="shared" si="1"/>
        <v>0.80390193836875867</v>
      </c>
    </row>
    <row r="32" spans="1:32" s="7" customFormat="1" x14ac:dyDescent="0.25">
      <c r="A32" s="27" t="s">
        <v>127</v>
      </c>
      <c r="B32" s="43">
        <v>-3610.16</v>
      </c>
      <c r="C32" s="43">
        <v>-8820.84</v>
      </c>
      <c r="D32" s="43">
        <v>-4777.88</v>
      </c>
      <c r="E32" s="43">
        <v>-7317.7999999999993</v>
      </c>
      <c r="F32" s="43">
        <v>-3926.28</v>
      </c>
      <c r="G32" s="43">
        <v>-3706.9700000000003</v>
      </c>
      <c r="H32" s="43">
        <v>-3701.11</v>
      </c>
      <c r="I32" s="43">
        <v>-3741.83</v>
      </c>
      <c r="J32" s="43">
        <v>-3695.11</v>
      </c>
      <c r="K32" s="43">
        <v>-3702.61</v>
      </c>
      <c r="L32" s="43">
        <v>-4243.51</v>
      </c>
      <c r="M32" s="43">
        <v>-3774.71</v>
      </c>
      <c r="N32" s="43">
        <v>-4708.57</v>
      </c>
      <c r="O32" s="43">
        <v>-5104.8500000000004</v>
      </c>
      <c r="P32" s="43">
        <v>-2535.5700000000002</v>
      </c>
      <c r="Q32" s="43">
        <v>-3837.04</v>
      </c>
      <c r="R32" s="43">
        <v>-3931.3599999999997</v>
      </c>
      <c r="S32" s="43">
        <v>-3905.25</v>
      </c>
      <c r="T32" s="43">
        <v>-4270.74</v>
      </c>
      <c r="U32" s="43">
        <v>-3859.29</v>
      </c>
      <c r="V32" s="43">
        <v>-3880.33</v>
      </c>
      <c r="W32" s="43">
        <v>-4867.1499999999996</v>
      </c>
      <c r="X32" s="43">
        <v>-2918.15</v>
      </c>
      <c r="Y32" s="43">
        <v>-3881.68</v>
      </c>
      <c r="Z32" s="43">
        <v>-3830.75</v>
      </c>
      <c r="AA32" s="43">
        <v>-4497.3</v>
      </c>
      <c r="AB32" s="43">
        <v>-3929.95</v>
      </c>
      <c r="AC32" s="43">
        <v>-5853.61</v>
      </c>
      <c r="AD32" s="44">
        <v>-5849.4400000000005</v>
      </c>
      <c r="AE32" s="44">
        <v>-5596.61</v>
      </c>
      <c r="AF32" s="44">
        <v>-7610.38</v>
      </c>
    </row>
    <row r="33" spans="1:32" s="7" customFormat="1" x14ac:dyDescent="0.25">
      <c r="A33" s="30" t="s">
        <v>128</v>
      </c>
      <c r="B33" s="43">
        <v>-2435.3599999999997</v>
      </c>
      <c r="C33" s="43">
        <v>-2435.3599999999997</v>
      </c>
      <c r="D33" s="43">
        <v>-3435.3599999999997</v>
      </c>
      <c r="E33" s="43">
        <v>-5964.7199999999993</v>
      </c>
      <c r="F33" s="43">
        <v>-2438.4299999999998</v>
      </c>
      <c r="G33" s="43">
        <v>-2438.4299999999998</v>
      </c>
      <c r="H33" s="43">
        <v>-2438.4300000000003</v>
      </c>
      <c r="I33" s="43">
        <v>-2438.4300000000003</v>
      </c>
      <c r="J33" s="43">
        <v>-2438.4300000000003</v>
      </c>
      <c r="K33" s="43">
        <v>-2438.4300000000003</v>
      </c>
      <c r="L33" s="43">
        <v>-2977.83</v>
      </c>
      <c r="M33" s="43">
        <v>-2438.4300000000003</v>
      </c>
      <c r="N33" s="43">
        <v>-3438.4300000000003</v>
      </c>
      <c r="O33" s="43">
        <v>-1438.4299999999998</v>
      </c>
      <c r="P33" s="43">
        <v>-2489.37</v>
      </c>
      <c r="Q33" s="43">
        <v>-2442.19</v>
      </c>
      <c r="R33" s="43">
        <v>-2397</v>
      </c>
      <c r="S33" s="43">
        <v>-2479.75</v>
      </c>
      <c r="T33" s="43">
        <v>-2479.75</v>
      </c>
      <c r="U33" s="43">
        <v>-2479.75</v>
      </c>
      <c r="V33" s="43">
        <v>-2479.75</v>
      </c>
      <c r="W33" s="43">
        <v>-3479.75</v>
      </c>
      <c r="X33" s="43">
        <v>-1479.75</v>
      </c>
      <c r="Y33" s="43">
        <v>-2479.75</v>
      </c>
      <c r="Z33" s="43">
        <v>-2479.75</v>
      </c>
      <c r="AA33" s="43">
        <v>-2486.9499999999998</v>
      </c>
      <c r="AB33" s="43">
        <v>-2486.9499999999998</v>
      </c>
      <c r="AC33" s="43">
        <v>-4403.6099999999997</v>
      </c>
      <c r="AD33" s="44">
        <v>-4153.6100000000006</v>
      </c>
      <c r="AE33" s="44">
        <v>-4153.6100000000006</v>
      </c>
      <c r="AF33" s="44">
        <v>-5903.62</v>
      </c>
    </row>
    <row r="34" spans="1:32" x14ac:dyDescent="0.25">
      <c r="A34" s="31" t="s">
        <v>46</v>
      </c>
      <c r="B34" s="37">
        <v>-2435.3599999999997</v>
      </c>
      <c r="C34" s="37">
        <v>-2435.3599999999997</v>
      </c>
      <c r="D34" s="37">
        <v>-3435.3599999999997</v>
      </c>
      <c r="E34" s="37">
        <v>-2438.4300000000003</v>
      </c>
      <c r="F34" s="37">
        <v>-2438.4299999999998</v>
      </c>
      <c r="G34" s="37">
        <v>-2438.4299999999998</v>
      </c>
      <c r="H34" s="37">
        <v>-2438.4300000000003</v>
      </c>
      <c r="I34" s="37">
        <v>-2438.4300000000003</v>
      </c>
      <c r="J34" s="37">
        <v>-2438.4300000000003</v>
      </c>
      <c r="K34" s="37">
        <v>-2438.4300000000003</v>
      </c>
      <c r="L34" s="37">
        <v>-2977.83</v>
      </c>
      <c r="M34" s="37">
        <v>-2438.4300000000003</v>
      </c>
      <c r="N34" s="37">
        <v>-3438.4300000000003</v>
      </c>
      <c r="O34" s="37">
        <v>-1438.4299999999998</v>
      </c>
      <c r="P34" s="37">
        <v>-2489.37</v>
      </c>
      <c r="Q34" s="37">
        <v>-2442.19</v>
      </c>
      <c r="R34" s="37">
        <v>-2397</v>
      </c>
      <c r="S34" s="37">
        <v>-2479.75</v>
      </c>
      <c r="T34" s="37">
        <v>-2479.75</v>
      </c>
      <c r="U34" s="37">
        <v>-2479.75</v>
      </c>
      <c r="V34" s="37">
        <v>-2479.75</v>
      </c>
      <c r="W34" s="37">
        <v>-3479.75</v>
      </c>
      <c r="X34" s="37">
        <v>-1479.75</v>
      </c>
      <c r="Y34" s="37">
        <v>-2479.75</v>
      </c>
      <c r="Z34" s="37">
        <v>-2479.75</v>
      </c>
      <c r="AA34" s="37">
        <v>-2486.9499999999998</v>
      </c>
      <c r="AB34" s="37">
        <v>-2486.9499999999998</v>
      </c>
      <c r="AC34" s="37">
        <v>-4403.6099999999997</v>
      </c>
      <c r="AD34" s="38">
        <v>-4153.6100000000006</v>
      </c>
      <c r="AE34" s="38">
        <v>-4153.6100000000006</v>
      </c>
      <c r="AF34" s="38">
        <v>-5903.62</v>
      </c>
    </row>
    <row r="35" spans="1:32" x14ac:dyDescent="0.25">
      <c r="A35" s="31" t="s">
        <v>47</v>
      </c>
      <c r="B35" s="37">
        <v>0</v>
      </c>
      <c r="C35" s="37">
        <v>0</v>
      </c>
      <c r="D35" s="37">
        <v>0</v>
      </c>
      <c r="E35" s="37">
        <v>-3526.29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8">
        <v>0</v>
      </c>
      <c r="AE35" s="38"/>
      <c r="AF35" s="38"/>
    </row>
    <row r="36" spans="1:32" s="7" customFormat="1" x14ac:dyDescent="0.25">
      <c r="A36" s="30" t="s">
        <v>129</v>
      </c>
      <c r="B36" s="43">
        <v>0</v>
      </c>
      <c r="C36" s="43">
        <v>-4755</v>
      </c>
      <c r="D36" s="43">
        <v>0</v>
      </c>
      <c r="E36" s="43">
        <v>0</v>
      </c>
      <c r="F36" s="43">
        <v>-154.1</v>
      </c>
      <c r="G36" s="43">
        <v>0</v>
      </c>
      <c r="H36" s="43">
        <v>-6</v>
      </c>
      <c r="I36" s="43">
        <v>0</v>
      </c>
      <c r="J36" s="43">
        <v>0</v>
      </c>
      <c r="K36" s="43">
        <v>-7.5</v>
      </c>
      <c r="L36" s="43">
        <v>-9</v>
      </c>
      <c r="M36" s="43">
        <v>-79.599999999999994</v>
      </c>
      <c r="N36" s="43">
        <v>0</v>
      </c>
      <c r="O36" s="43">
        <v>-138</v>
      </c>
      <c r="P36" s="43">
        <v>0</v>
      </c>
      <c r="Q36" s="43">
        <v>0</v>
      </c>
      <c r="R36" s="43">
        <v>-166.2</v>
      </c>
      <c r="S36" s="43">
        <v>-63.52</v>
      </c>
      <c r="T36" s="43">
        <v>0</v>
      </c>
      <c r="U36" s="43">
        <v>0</v>
      </c>
      <c r="V36" s="43">
        <v>-7</v>
      </c>
      <c r="W36" s="43">
        <v>-26.4</v>
      </c>
      <c r="X36" s="43">
        <v>-19.5</v>
      </c>
      <c r="Y36" s="43">
        <v>0</v>
      </c>
      <c r="Z36" s="43">
        <v>0</v>
      </c>
      <c r="AA36" s="43">
        <v>0</v>
      </c>
      <c r="AB36" s="43">
        <v>0</v>
      </c>
      <c r="AC36" s="43">
        <v>-7</v>
      </c>
      <c r="AD36" s="44">
        <v>-178.98</v>
      </c>
      <c r="AE36" s="44"/>
      <c r="AF36" s="44">
        <v>-7</v>
      </c>
    </row>
    <row r="37" spans="1:32" x14ac:dyDescent="0.25">
      <c r="A37" s="31" t="s">
        <v>42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-63.52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8">
        <v>0</v>
      </c>
      <c r="AE37" s="38"/>
      <c r="AF37" s="38"/>
    </row>
    <row r="38" spans="1:32" x14ac:dyDescent="0.25">
      <c r="A38" s="31" t="s">
        <v>43</v>
      </c>
      <c r="B38" s="37">
        <v>0</v>
      </c>
      <c r="C38" s="37">
        <v>-4755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-79.599999999999994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8">
        <v>0</v>
      </c>
      <c r="AE38" s="38"/>
      <c r="AF38" s="38"/>
    </row>
    <row r="39" spans="1:32" x14ac:dyDescent="0.25">
      <c r="A39" s="31" t="s">
        <v>44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-6</v>
      </c>
      <c r="I39" s="37">
        <v>0</v>
      </c>
      <c r="J39" s="37">
        <v>0</v>
      </c>
      <c r="K39" s="37">
        <v>-7.5</v>
      </c>
      <c r="L39" s="37">
        <v>-9</v>
      </c>
      <c r="M39" s="37">
        <v>0</v>
      </c>
      <c r="N39" s="37">
        <v>0</v>
      </c>
      <c r="O39" s="37">
        <v>-138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-7</v>
      </c>
      <c r="W39" s="37">
        <v>-26.4</v>
      </c>
      <c r="X39" s="37">
        <v>-19.5</v>
      </c>
      <c r="Y39" s="37">
        <v>0</v>
      </c>
      <c r="Z39" s="37">
        <v>0</v>
      </c>
      <c r="AA39" s="37">
        <v>0</v>
      </c>
      <c r="AB39" s="37">
        <v>0</v>
      </c>
      <c r="AC39" s="37">
        <v>-7</v>
      </c>
      <c r="AD39" s="38">
        <v>-10.5</v>
      </c>
      <c r="AE39" s="38"/>
      <c r="AF39" s="38">
        <v>-7</v>
      </c>
    </row>
    <row r="40" spans="1:32" x14ac:dyDescent="0.25">
      <c r="A40" s="31" t="s">
        <v>45</v>
      </c>
      <c r="B40" s="37">
        <v>0</v>
      </c>
      <c r="C40" s="37">
        <v>0</v>
      </c>
      <c r="D40" s="37">
        <v>0</v>
      </c>
      <c r="E40" s="37">
        <v>0</v>
      </c>
      <c r="F40" s="37">
        <v>-154.1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-166.2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8">
        <v>-168.48</v>
      </c>
      <c r="AE40" s="38"/>
      <c r="AF40" s="38"/>
    </row>
    <row r="41" spans="1:32" s="7" customFormat="1" x14ac:dyDescent="0.25">
      <c r="A41" s="30" t="s">
        <v>130</v>
      </c>
      <c r="B41" s="43">
        <v>-1174.8</v>
      </c>
      <c r="C41" s="43">
        <v>-1630.4800000000002</v>
      </c>
      <c r="D41" s="43">
        <v>-1342.52</v>
      </c>
      <c r="E41" s="43">
        <v>-1353.08</v>
      </c>
      <c r="F41" s="43">
        <v>-1333.75</v>
      </c>
      <c r="G41" s="43">
        <v>-1268.54</v>
      </c>
      <c r="H41" s="43">
        <v>-1256.68</v>
      </c>
      <c r="I41" s="43">
        <v>-1303.4000000000001</v>
      </c>
      <c r="J41" s="43">
        <v>-1256.68</v>
      </c>
      <c r="K41" s="43">
        <v>-1256.68</v>
      </c>
      <c r="L41" s="43">
        <v>-1256.68</v>
      </c>
      <c r="M41" s="43">
        <v>-1256.68</v>
      </c>
      <c r="N41" s="43">
        <v>-1270.1400000000001</v>
      </c>
      <c r="O41" s="43">
        <v>-3528.42</v>
      </c>
      <c r="P41" s="43">
        <v>-46.2</v>
      </c>
      <c r="Q41" s="43">
        <v>-1394.85</v>
      </c>
      <c r="R41" s="43">
        <v>-1368.16</v>
      </c>
      <c r="S41" s="43">
        <v>-1361.98</v>
      </c>
      <c r="T41" s="43">
        <v>-1790.9900000000002</v>
      </c>
      <c r="U41" s="43">
        <v>-1379.54</v>
      </c>
      <c r="V41" s="43">
        <v>-1393.58</v>
      </c>
      <c r="W41" s="43">
        <v>-1361</v>
      </c>
      <c r="X41" s="43">
        <v>-1418.9</v>
      </c>
      <c r="Y41" s="43">
        <v>-1401.93</v>
      </c>
      <c r="Z41" s="43">
        <v>-1351</v>
      </c>
      <c r="AA41" s="43">
        <v>-2010.35</v>
      </c>
      <c r="AB41" s="43">
        <v>-1443</v>
      </c>
      <c r="AC41" s="43">
        <v>-1443</v>
      </c>
      <c r="AD41" s="44">
        <v>-1516.8500000000001</v>
      </c>
      <c r="AE41" s="44">
        <v>-1443</v>
      </c>
      <c r="AF41" s="44">
        <v>-1699.76</v>
      </c>
    </row>
    <row r="42" spans="1:32" x14ac:dyDescent="0.25">
      <c r="A42" s="31" t="s">
        <v>48</v>
      </c>
      <c r="B42" s="37">
        <v>0</v>
      </c>
      <c r="C42" s="37">
        <v>-359.1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-787.2</v>
      </c>
      <c r="P42" s="37">
        <v>-22</v>
      </c>
      <c r="Q42" s="37">
        <v>0</v>
      </c>
      <c r="R42" s="37">
        <v>0</v>
      </c>
      <c r="S42" s="37">
        <v>0</v>
      </c>
      <c r="T42" s="37">
        <v>-23.9</v>
      </c>
      <c r="U42" s="37">
        <v>0</v>
      </c>
      <c r="V42" s="37">
        <v>-42.56</v>
      </c>
      <c r="W42" s="37">
        <v>-9.98</v>
      </c>
      <c r="X42" s="37">
        <v>-49.96</v>
      </c>
      <c r="Y42" s="37">
        <v>0</v>
      </c>
      <c r="Z42" s="37">
        <v>0</v>
      </c>
      <c r="AA42" s="37">
        <v>-568.35</v>
      </c>
      <c r="AB42" s="37">
        <v>0</v>
      </c>
      <c r="AC42" s="37">
        <v>0</v>
      </c>
      <c r="AD42" s="38">
        <v>-34.97</v>
      </c>
      <c r="AE42" s="38"/>
      <c r="AF42" s="38">
        <v>-155.80000000000001</v>
      </c>
    </row>
    <row r="43" spans="1:32" x14ac:dyDescent="0.25">
      <c r="A43" s="31" t="s">
        <v>49</v>
      </c>
      <c r="B43" s="37">
        <v>-1174.8</v>
      </c>
      <c r="C43" s="37">
        <v>-1256.68</v>
      </c>
      <c r="D43" s="37">
        <v>-1256.68</v>
      </c>
      <c r="E43" s="37">
        <v>-1256.68</v>
      </c>
      <c r="F43" s="37">
        <v>-1256.68</v>
      </c>
      <c r="G43" s="37">
        <v>-1256.68</v>
      </c>
      <c r="H43" s="37">
        <v>-1256.68</v>
      </c>
      <c r="I43" s="37">
        <v>-1256.68</v>
      </c>
      <c r="J43" s="37">
        <v>-1256.68</v>
      </c>
      <c r="K43" s="37">
        <v>-1256.68</v>
      </c>
      <c r="L43" s="37">
        <v>-1256.68</v>
      </c>
      <c r="M43" s="37">
        <v>-1256.68</v>
      </c>
      <c r="N43" s="37">
        <v>-1256.68</v>
      </c>
      <c r="O43" s="37">
        <v>-2702.04</v>
      </c>
      <c r="P43" s="37">
        <v>0</v>
      </c>
      <c r="Q43" s="37">
        <v>-1351.02</v>
      </c>
      <c r="R43" s="37">
        <v>-1351.02</v>
      </c>
      <c r="S43" s="37">
        <v>-1351.02</v>
      </c>
      <c r="T43" s="37">
        <v>-1351.02</v>
      </c>
      <c r="U43" s="37">
        <v>-1351.02</v>
      </c>
      <c r="V43" s="37">
        <v>-1351.02</v>
      </c>
      <c r="W43" s="37">
        <v>-1351.02</v>
      </c>
      <c r="X43" s="37">
        <v>-1352</v>
      </c>
      <c r="Y43" s="37">
        <v>-1351</v>
      </c>
      <c r="Z43" s="37">
        <v>-1351</v>
      </c>
      <c r="AA43" s="37">
        <v>-1442</v>
      </c>
      <c r="AB43" s="37">
        <v>-1443</v>
      </c>
      <c r="AC43" s="37">
        <v>-1443</v>
      </c>
      <c r="AD43" s="38">
        <v>-1442</v>
      </c>
      <c r="AE43" s="38">
        <v>-1443</v>
      </c>
      <c r="AF43" s="38">
        <v>-1443</v>
      </c>
    </row>
    <row r="44" spans="1:32" x14ac:dyDescent="0.25">
      <c r="A44" s="31" t="s">
        <v>50</v>
      </c>
      <c r="B44" s="37">
        <v>0</v>
      </c>
      <c r="C44" s="37">
        <v>-14.7</v>
      </c>
      <c r="D44" s="37">
        <v>-85.84</v>
      </c>
      <c r="E44" s="37">
        <v>-96.399999999999991</v>
      </c>
      <c r="F44" s="37">
        <v>-77.069999999999993</v>
      </c>
      <c r="G44" s="37">
        <v>-11.86</v>
      </c>
      <c r="H44" s="37">
        <v>0</v>
      </c>
      <c r="I44" s="37">
        <v>-46.72</v>
      </c>
      <c r="J44" s="37">
        <v>0</v>
      </c>
      <c r="K44" s="37">
        <v>0</v>
      </c>
      <c r="L44" s="37">
        <v>0</v>
      </c>
      <c r="M44" s="37">
        <v>0</v>
      </c>
      <c r="N44" s="37">
        <v>-13.46</v>
      </c>
      <c r="O44" s="37">
        <v>-39.18</v>
      </c>
      <c r="P44" s="37">
        <v>-24.2</v>
      </c>
      <c r="Q44" s="37">
        <v>-43.83</v>
      </c>
      <c r="R44" s="37">
        <v>-17.14</v>
      </c>
      <c r="S44" s="37">
        <v>-10.96</v>
      </c>
      <c r="T44" s="37">
        <v>-416.07000000000005</v>
      </c>
      <c r="U44" s="37">
        <v>-28.52</v>
      </c>
      <c r="V44" s="37">
        <v>0</v>
      </c>
      <c r="W44" s="37">
        <v>0</v>
      </c>
      <c r="X44" s="37">
        <v>-16.940000000000001</v>
      </c>
      <c r="Y44" s="37">
        <v>-50.93</v>
      </c>
      <c r="Z44" s="37">
        <v>0</v>
      </c>
      <c r="AA44" s="37">
        <v>0</v>
      </c>
      <c r="AB44" s="37">
        <v>0</v>
      </c>
      <c r="AC44" s="37">
        <v>0</v>
      </c>
      <c r="AD44" s="38">
        <v>-39.880000000000003</v>
      </c>
      <c r="AE44" s="38"/>
      <c r="AF44" s="38">
        <v>-100.96000000000001</v>
      </c>
    </row>
    <row r="45" spans="1:32" x14ac:dyDescent="0.25">
      <c r="A45" s="34" t="s">
        <v>131</v>
      </c>
      <c r="B45" s="39">
        <v>51415.42</v>
      </c>
      <c r="C45" s="39">
        <v>235447.46000000002</v>
      </c>
      <c r="D45" s="39">
        <v>223818.72999999998</v>
      </c>
      <c r="E45" s="39">
        <v>26245.319999999996</v>
      </c>
      <c r="F45" s="39">
        <v>141309.47</v>
      </c>
      <c r="G45" s="39">
        <v>309399.98</v>
      </c>
      <c r="H45" s="39">
        <v>290594.58</v>
      </c>
      <c r="I45" s="39">
        <v>-13729.120000000008</v>
      </c>
      <c r="J45" s="39">
        <v>84617.10000000002</v>
      </c>
      <c r="K45" s="39">
        <v>64265.119999999995</v>
      </c>
      <c r="L45" s="39">
        <v>80476.730000000025</v>
      </c>
      <c r="M45" s="39">
        <v>73093.81</v>
      </c>
      <c r="N45" s="39">
        <v>656988.04</v>
      </c>
      <c r="O45" s="39">
        <v>176296.78</v>
      </c>
      <c r="P45" s="39">
        <v>214555.43999999997</v>
      </c>
      <c r="Q45" s="39">
        <v>280514.65999999997</v>
      </c>
      <c r="R45" s="39">
        <v>13295.939999999988</v>
      </c>
      <c r="S45" s="39">
        <v>21273.600000000002</v>
      </c>
      <c r="T45" s="39">
        <v>128017.05</v>
      </c>
      <c r="U45" s="39">
        <v>62298.810000000019</v>
      </c>
      <c r="V45" s="39">
        <v>102391.68999999999</v>
      </c>
      <c r="W45" s="39">
        <v>57149.15</v>
      </c>
      <c r="X45" s="39">
        <v>170147.31000000003</v>
      </c>
      <c r="Y45" s="39">
        <v>109727.26000000001</v>
      </c>
      <c r="Z45" s="39">
        <v>322856.19</v>
      </c>
      <c r="AA45" s="39">
        <v>127620.61999999998</v>
      </c>
      <c r="AB45" s="39">
        <v>182185.85</v>
      </c>
      <c r="AC45" s="39">
        <v>135191.24000000005</v>
      </c>
      <c r="AD45" s="40">
        <v>72287.639999999985</v>
      </c>
      <c r="AE45" s="40">
        <v>144848.91999999998</v>
      </c>
      <c r="AF45" s="40">
        <v>155716.55999999997</v>
      </c>
    </row>
    <row r="46" spans="1:32" s="7" customFormat="1" x14ac:dyDescent="0.25">
      <c r="A46" s="27" t="s">
        <v>132</v>
      </c>
      <c r="B46" s="43">
        <v>-41.739999999999995</v>
      </c>
      <c r="C46" s="43">
        <v>-39.17</v>
      </c>
      <c r="D46" s="43">
        <v>357.09</v>
      </c>
      <c r="E46" s="43">
        <v>5.46</v>
      </c>
      <c r="F46" s="43">
        <v>3.9</v>
      </c>
      <c r="G46" s="43">
        <v>3.5199999999999996</v>
      </c>
      <c r="H46" s="43">
        <v>3.51</v>
      </c>
      <c r="I46" s="43">
        <v>-33.230000000000004</v>
      </c>
      <c r="J46" s="43">
        <v>5.31</v>
      </c>
      <c r="K46" s="43">
        <v>104.62</v>
      </c>
      <c r="L46" s="43">
        <v>5.31</v>
      </c>
      <c r="M46" s="43">
        <v>3.51</v>
      </c>
      <c r="N46" s="43">
        <v>3.12</v>
      </c>
      <c r="O46" s="43">
        <v>1.95</v>
      </c>
      <c r="P46" s="43">
        <v>659.25</v>
      </c>
      <c r="Q46" s="43">
        <v>2.34</v>
      </c>
      <c r="R46" s="43">
        <v>-11.879999999999999</v>
      </c>
      <c r="S46" s="43">
        <v>3.51</v>
      </c>
      <c r="T46" s="43">
        <v>4.29</v>
      </c>
      <c r="U46" s="43">
        <v>3.51</v>
      </c>
      <c r="V46" s="43">
        <v>4.29</v>
      </c>
      <c r="W46" s="43">
        <v>4.29</v>
      </c>
      <c r="X46" s="43">
        <v>5.46</v>
      </c>
      <c r="Y46" s="43">
        <v>3.51</v>
      </c>
      <c r="Z46" s="43">
        <v>3.9</v>
      </c>
      <c r="AA46" s="43">
        <v>-95.32</v>
      </c>
      <c r="AB46" s="43">
        <v>1519.5700000000002</v>
      </c>
      <c r="AC46" s="43">
        <v>10.92</v>
      </c>
      <c r="AD46" s="44">
        <v>5.85</v>
      </c>
      <c r="AE46" s="44">
        <v>3.9</v>
      </c>
      <c r="AF46" s="44">
        <v>5.46</v>
      </c>
    </row>
    <row r="47" spans="1:32" s="7" customFormat="1" x14ac:dyDescent="0.25">
      <c r="A47" s="30" t="s">
        <v>133</v>
      </c>
      <c r="B47" s="43">
        <v>2.34</v>
      </c>
      <c r="C47" s="43">
        <v>2.73</v>
      </c>
      <c r="D47" s="43">
        <v>398.99</v>
      </c>
      <c r="E47" s="43">
        <v>5.46</v>
      </c>
      <c r="F47" s="43">
        <v>3.9</v>
      </c>
      <c r="G47" s="43">
        <v>3.5199999999999996</v>
      </c>
      <c r="H47" s="43">
        <v>3.51</v>
      </c>
      <c r="I47" s="43">
        <v>2.73</v>
      </c>
      <c r="J47" s="43">
        <v>5.31</v>
      </c>
      <c r="K47" s="43">
        <v>104.62</v>
      </c>
      <c r="L47" s="43">
        <v>5.31</v>
      </c>
      <c r="M47" s="43">
        <v>3.51</v>
      </c>
      <c r="N47" s="43">
        <v>3.12</v>
      </c>
      <c r="O47" s="43">
        <v>1.95</v>
      </c>
      <c r="P47" s="43">
        <v>659.25</v>
      </c>
      <c r="Q47" s="43">
        <v>2.34</v>
      </c>
      <c r="R47" s="43">
        <v>3.12</v>
      </c>
      <c r="S47" s="43">
        <v>3.51</v>
      </c>
      <c r="T47" s="43">
        <v>4.29</v>
      </c>
      <c r="U47" s="43">
        <v>3.51</v>
      </c>
      <c r="V47" s="43">
        <v>4.29</v>
      </c>
      <c r="W47" s="43">
        <v>4.29</v>
      </c>
      <c r="X47" s="43">
        <v>5.46</v>
      </c>
      <c r="Y47" s="43">
        <v>3.51</v>
      </c>
      <c r="Z47" s="43">
        <v>3.9</v>
      </c>
      <c r="AA47" s="43">
        <v>4.68</v>
      </c>
      <c r="AB47" s="43">
        <v>1519.5700000000002</v>
      </c>
      <c r="AC47" s="43">
        <v>10.92</v>
      </c>
      <c r="AD47" s="44">
        <v>5.85</v>
      </c>
      <c r="AE47" s="44">
        <v>3.9</v>
      </c>
      <c r="AF47" s="44">
        <v>5.46</v>
      </c>
    </row>
    <row r="48" spans="1:32" x14ac:dyDescent="0.25">
      <c r="A48" s="31" t="s">
        <v>15</v>
      </c>
      <c r="B48" s="37">
        <v>2.34</v>
      </c>
      <c r="C48" s="37">
        <v>2.73</v>
      </c>
      <c r="D48" s="37">
        <v>4.29</v>
      </c>
      <c r="E48" s="37">
        <v>5.46</v>
      </c>
      <c r="F48" s="37">
        <v>3.9</v>
      </c>
      <c r="G48" s="37">
        <v>3.51</v>
      </c>
      <c r="H48" s="37">
        <v>3.51</v>
      </c>
      <c r="I48" s="37">
        <v>2.73</v>
      </c>
      <c r="J48" s="37">
        <v>5.31</v>
      </c>
      <c r="K48" s="37">
        <v>5.31</v>
      </c>
      <c r="L48" s="37">
        <v>5.31</v>
      </c>
      <c r="M48" s="37">
        <v>3.51</v>
      </c>
      <c r="N48" s="37">
        <v>3.12</v>
      </c>
      <c r="O48" s="37">
        <v>1.95</v>
      </c>
      <c r="P48" s="37">
        <v>2.34</v>
      </c>
      <c r="Q48" s="37">
        <v>2.34</v>
      </c>
      <c r="R48" s="37">
        <v>3.12</v>
      </c>
      <c r="S48" s="37">
        <v>3.51</v>
      </c>
      <c r="T48" s="37">
        <v>4.29</v>
      </c>
      <c r="U48" s="37">
        <v>3.51</v>
      </c>
      <c r="V48" s="37">
        <v>4.29</v>
      </c>
      <c r="W48" s="37">
        <v>4.29</v>
      </c>
      <c r="X48" s="37">
        <v>5.46</v>
      </c>
      <c r="Y48" s="37">
        <v>3.51</v>
      </c>
      <c r="Z48" s="37">
        <v>3.9</v>
      </c>
      <c r="AA48" s="37">
        <v>4.68</v>
      </c>
      <c r="AB48" s="37">
        <v>3.9</v>
      </c>
      <c r="AC48" s="37">
        <v>10.92</v>
      </c>
      <c r="AD48" s="38">
        <v>5.85</v>
      </c>
      <c r="AE48" s="38">
        <v>3.9</v>
      </c>
      <c r="AF48" s="38">
        <v>5.46</v>
      </c>
    </row>
    <row r="49" spans="1:32" x14ac:dyDescent="0.25">
      <c r="A49" s="31" t="s">
        <v>16</v>
      </c>
      <c r="B49" s="37">
        <v>0</v>
      </c>
      <c r="C49" s="37">
        <v>0</v>
      </c>
      <c r="D49" s="37">
        <v>394.7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656.91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1515.67</v>
      </c>
      <c r="AC49" s="37">
        <v>0</v>
      </c>
      <c r="AD49" s="38">
        <v>0</v>
      </c>
      <c r="AE49" s="38"/>
      <c r="AF49" s="38"/>
    </row>
    <row r="50" spans="1:32" x14ac:dyDescent="0.25">
      <c r="A50" s="31" t="s">
        <v>17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0.01</v>
      </c>
      <c r="H50" s="37">
        <v>0</v>
      </c>
      <c r="I50" s="37">
        <v>0</v>
      </c>
      <c r="J50" s="37">
        <v>0</v>
      </c>
      <c r="K50" s="37">
        <v>99.31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8">
        <v>0</v>
      </c>
      <c r="AE50" s="38"/>
      <c r="AF50" s="38"/>
    </row>
    <row r="51" spans="1:32" s="7" customFormat="1" x14ac:dyDescent="0.25">
      <c r="A51" s="30" t="s">
        <v>134</v>
      </c>
      <c r="B51" s="43">
        <v>-44.08</v>
      </c>
      <c r="C51" s="43">
        <v>-41.9</v>
      </c>
      <c r="D51" s="43">
        <v>-41.9</v>
      </c>
      <c r="E51" s="43">
        <v>0</v>
      </c>
      <c r="F51" s="43">
        <v>0</v>
      </c>
      <c r="G51" s="43">
        <v>0</v>
      </c>
      <c r="H51" s="43">
        <v>0</v>
      </c>
      <c r="I51" s="43">
        <v>-35.96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-15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-100</v>
      </c>
      <c r="AB51" s="43">
        <v>0</v>
      </c>
      <c r="AC51" s="43">
        <v>0</v>
      </c>
      <c r="AD51" s="44">
        <v>0</v>
      </c>
      <c r="AE51" s="44"/>
      <c r="AF51" s="44"/>
    </row>
    <row r="52" spans="1:32" x14ac:dyDescent="0.25">
      <c r="A52" s="31" t="s">
        <v>51</v>
      </c>
      <c r="B52" s="37">
        <v>-2.1800000000000002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-35.96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8">
        <v>0</v>
      </c>
      <c r="AE52" s="38"/>
      <c r="AF52" s="38"/>
    </row>
    <row r="53" spans="1:32" x14ac:dyDescent="0.25">
      <c r="A53" s="31" t="s">
        <v>52</v>
      </c>
      <c r="B53" s="37">
        <v>-41.9</v>
      </c>
      <c r="C53" s="37">
        <v>-41.9</v>
      </c>
      <c r="D53" s="37">
        <v>-41.9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-15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-100</v>
      </c>
      <c r="AB53" s="37">
        <v>0</v>
      </c>
      <c r="AC53" s="37">
        <v>0</v>
      </c>
      <c r="AD53" s="38">
        <v>0</v>
      </c>
      <c r="AE53" s="38"/>
      <c r="AF53" s="38"/>
    </row>
    <row r="54" spans="1:32" s="7" customFormat="1" x14ac:dyDescent="0.25">
      <c r="A54" s="27" t="s">
        <v>135</v>
      </c>
      <c r="B54" s="43">
        <v>-40000</v>
      </c>
      <c r="C54" s="43">
        <v>0</v>
      </c>
      <c r="D54" s="43">
        <v>-412063.36</v>
      </c>
      <c r="E54" s="43">
        <v>-83000</v>
      </c>
      <c r="F54" s="43">
        <v>-143000</v>
      </c>
      <c r="G54" s="43">
        <v>-246358.17</v>
      </c>
      <c r="H54" s="43">
        <v>-293457.27</v>
      </c>
      <c r="I54" s="43">
        <v>-48000</v>
      </c>
      <c r="J54" s="43">
        <v>-67058.8</v>
      </c>
      <c r="K54" s="43">
        <v>-71982.899999999994</v>
      </c>
      <c r="L54" s="43">
        <v>0</v>
      </c>
      <c r="M54" s="43">
        <v>-134104.12</v>
      </c>
      <c r="N54" s="43">
        <v>-346000</v>
      </c>
      <c r="O54" s="43">
        <v>-250000</v>
      </c>
      <c r="P54" s="43">
        <v>-408350</v>
      </c>
      <c r="Q54" s="43">
        <v>-290000</v>
      </c>
      <c r="R54" s="43">
        <v>-41000</v>
      </c>
      <c r="S54" s="43">
        <v>-38936.520000000019</v>
      </c>
      <c r="T54" s="43">
        <v>-36040.57</v>
      </c>
      <c r="U54" s="43">
        <v>-120843.04999999999</v>
      </c>
      <c r="V54" s="43">
        <v>-118812.54</v>
      </c>
      <c r="W54" s="43">
        <v>-51934.329999999994</v>
      </c>
      <c r="X54" s="43">
        <v>-119114.65</v>
      </c>
      <c r="Y54" s="43">
        <v>-146492.24000000002</v>
      </c>
      <c r="Z54" s="43">
        <v>-290673.16000000003</v>
      </c>
      <c r="AA54" s="43">
        <v>-149745.32999999999</v>
      </c>
      <c r="AB54" s="43">
        <v>-140820.35</v>
      </c>
      <c r="AC54" s="43">
        <v>-149528.41</v>
      </c>
      <c r="AD54" s="44">
        <v>-100388.42</v>
      </c>
      <c r="AE54" s="44">
        <v>-70379.67</v>
      </c>
      <c r="AF54" s="44">
        <v>-166394.69999999998</v>
      </c>
    </row>
    <row r="55" spans="1:32" s="7" customFormat="1" x14ac:dyDescent="0.25">
      <c r="A55" s="30" t="s">
        <v>136</v>
      </c>
      <c r="B55" s="43">
        <v>1320</v>
      </c>
      <c r="C55" s="43">
        <v>0</v>
      </c>
      <c r="D55" s="43">
        <v>0</v>
      </c>
      <c r="E55" s="43">
        <v>1.1399999999999999</v>
      </c>
      <c r="F55" s="43">
        <v>0</v>
      </c>
      <c r="G55" s="43">
        <v>4441.83</v>
      </c>
      <c r="H55" s="43">
        <v>380</v>
      </c>
      <c r="I55" s="43">
        <v>2300.1999999999998</v>
      </c>
      <c r="J55" s="43">
        <v>0</v>
      </c>
      <c r="K55" s="43">
        <v>0</v>
      </c>
      <c r="L55" s="43">
        <v>0</v>
      </c>
      <c r="M55" s="43">
        <v>6238.38</v>
      </c>
      <c r="N55" s="43">
        <v>2047.11</v>
      </c>
      <c r="O55" s="43">
        <v>0</v>
      </c>
      <c r="P55" s="43">
        <v>1753.79</v>
      </c>
      <c r="Q55" s="43">
        <v>303.05</v>
      </c>
      <c r="R55" s="43">
        <v>0</v>
      </c>
      <c r="S55" s="43">
        <v>0</v>
      </c>
      <c r="T55" s="43">
        <v>8973.16</v>
      </c>
      <c r="U55" s="43">
        <v>2100</v>
      </c>
      <c r="V55" s="43">
        <v>7105.4000000000005</v>
      </c>
      <c r="W55" s="43">
        <v>2267.66</v>
      </c>
      <c r="X55" s="43">
        <v>7516.1399999999994</v>
      </c>
      <c r="Y55" s="43">
        <v>0</v>
      </c>
      <c r="Z55" s="43">
        <v>173.04</v>
      </c>
      <c r="AA55" s="43">
        <v>2323.52</v>
      </c>
      <c r="AB55" s="43">
        <v>1168.8499999999999</v>
      </c>
      <c r="AC55" s="43">
        <v>1619.49</v>
      </c>
      <c r="AD55" s="44">
        <v>361.66</v>
      </c>
      <c r="AE55" s="44">
        <v>54992.46</v>
      </c>
      <c r="AF55" s="44">
        <v>8533.7999999999993</v>
      </c>
    </row>
    <row r="56" spans="1:32" x14ac:dyDescent="0.25">
      <c r="A56" s="31" t="s">
        <v>19</v>
      </c>
      <c r="B56" s="37">
        <v>1320</v>
      </c>
      <c r="C56" s="37">
        <v>0</v>
      </c>
      <c r="D56" s="37">
        <v>0</v>
      </c>
      <c r="E56" s="37">
        <v>1.1399999999999999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2860.7</v>
      </c>
      <c r="N56" s="37">
        <v>0</v>
      </c>
      <c r="O56" s="37">
        <v>0</v>
      </c>
      <c r="P56" s="37">
        <v>1650</v>
      </c>
      <c r="Q56" s="37">
        <v>0</v>
      </c>
      <c r="R56" s="37">
        <v>0</v>
      </c>
      <c r="S56" s="37">
        <v>0</v>
      </c>
      <c r="T56" s="37">
        <v>1925</v>
      </c>
      <c r="U56" s="37">
        <v>0</v>
      </c>
      <c r="V56" s="37">
        <v>0</v>
      </c>
      <c r="W56" s="37">
        <v>757.88</v>
      </c>
      <c r="X56" s="37">
        <v>0</v>
      </c>
      <c r="Y56" s="37">
        <v>0</v>
      </c>
      <c r="Z56" s="37">
        <v>71.69</v>
      </c>
      <c r="AA56" s="37">
        <v>0</v>
      </c>
      <c r="AB56" s="37">
        <v>0</v>
      </c>
      <c r="AC56" s="37">
        <v>0</v>
      </c>
      <c r="AD56" s="38">
        <v>180.83</v>
      </c>
      <c r="AE56" s="38">
        <v>638.4</v>
      </c>
      <c r="AF56" s="38"/>
    </row>
    <row r="57" spans="1:32" x14ac:dyDescent="0.25">
      <c r="A57" s="31" t="s">
        <v>20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4441.83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2047.11</v>
      </c>
      <c r="O57" s="37">
        <v>0</v>
      </c>
      <c r="P57" s="37">
        <v>0</v>
      </c>
      <c r="Q57" s="37">
        <v>303.05</v>
      </c>
      <c r="R57" s="37">
        <v>0</v>
      </c>
      <c r="S57" s="37">
        <v>0</v>
      </c>
      <c r="T57" s="37">
        <v>4441.6399999999994</v>
      </c>
      <c r="U57" s="37">
        <v>0</v>
      </c>
      <c r="V57" s="37">
        <v>7105.4000000000005</v>
      </c>
      <c r="W57" s="37">
        <v>142</v>
      </c>
      <c r="X57" s="37">
        <v>3213.73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8">
        <v>180.83</v>
      </c>
      <c r="AE57" s="38">
        <v>54354.06</v>
      </c>
      <c r="AF57" s="38"/>
    </row>
    <row r="58" spans="1:32" x14ac:dyDescent="0.25">
      <c r="A58" s="31" t="s">
        <v>21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2300.1999999999998</v>
      </c>
      <c r="J58" s="37">
        <v>0</v>
      </c>
      <c r="K58" s="37">
        <v>0</v>
      </c>
      <c r="L58" s="37">
        <v>0</v>
      </c>
      <c r="M58" s="37">
        <v>3342.5</v>
      </c>
      <c r="N58" s="37">
        <v>0</v>
      </c>
      <c r="O58" s="37">
        <v>0</v>
      </c>
      <c r="P58" s="37">
        <v>103.79</v>
      </c>
      <c r="Q58" s="37">
        <v>0</v>
      </c>
      <c r="R58" s="37">
        <v>0</v>
      </c>
      <c r="S58" s="37">
        <v>0</v>
      </c>
      <c r="T58" s="37">
        <v>0</v>
      </c>
      <c r="U58" s="37">
        <v>2100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900</v>
      </c>
      <c r="AB58" s="37">
        <v>0</v>
      </c>
      <c r="AC58" s="37">
        <v>0</v>
      </c>
      <c r="AD58" s="38">
        <v>0</v>
      </c>
      <c r="AE58" s="38"/>
      <c r="AF58" s="38">
        <v>3000</v>
      </c>
    </row>
    <row r="59" spans="1:32" x14ac:dyDescent="0.25">
      <c r="A59" s="31" t="s">
        <v>22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380</v>
      </c>
      <c r="I59" s="37">
        <v>0</v>
      </c>
      <c r="J59" s="37">
        <v>0</v>
      </c>
      <c r="K59" s="37">
        <v>0</v>
      </c>
      <c r="L59" s="37">
        <v>0</v>
      </c>
      <c r="M59" s="37">
        <v>35.18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2606.52</v>
      </c>
      <c r="U59" s="37">
        <v>0</v>
      </c>
      <c r="V59" s="37">
        <v>0</v>
      </c>
      <c r="W59" s="37">
        <v>1367.78</v>
      </c>
      <c r="X59" s="37">
        <v>4302.41</v>
      </c>
      <c r="Y59" s="37">
        <v>0</v>
      </c>
      <c r="Z59" s="37">
        <v>101.35</v>
      </c>
      <c r="AA59" s="37">
        <v>1423.52</v>
      </c>
      <c r="AB59" s="37">
        <v>1168.8499999999999</v>
      </c>
      <c r="AC59" s="37">
        <v>1619.49</v>
      </c>
      <c r="AD59" s="38">
        <v>0</v>
      </c>
      <c r="AE59" s="38"/>
      <c r="AF59" s="38">
        <v>5533.7999999999993</v>
      </c>
    </row>
    <row r="60" spans="1:32" s="7" customFormat="1" x14ac:dyDescent="0.25">
      <c r="A60" s="30" t="s">
        <v>137</v>
      </c>
      <c r="B60" s="43">
        <v>-41320</v>
      </c>
      <c r="C60" s="43">
        <v>0</v>
      </c>
      <c r="D60" s="43">
        <v>-412063.36</v>
      </c>
      <c r="E60" s="43">
        <v>-83001.14</v>
      </c>
      <c r="F60" s="43">
        <v>-143000</v>
      </c>
      <c r="G60" s="43">
        <v>-250800</v>
      </c>
      <c r="H60" s="43">
        <v>-293837.27</v>
      </c>
      <c r="I60" s="43">
        <v>-50300.2</v>
      </c>
      <c r="J60" s="43">
        <v>-67058.8</v>
      </c>
      <c r="K60" s="43">
        <v>-71982.899999999994</v>
      </c>
      <c r="L60" s="43">
        <v>0</v>
      </c>
      <c r="M60" s="43">
        <v>-140342.5</v>
      </c>
      <c r="N60" s="43">
        <v>-348047.11</v>
      </c>
      <c r="O60" s="43">
        <v>-250000</v>
      </c>
      <c r="P60" s="43">
        <v>-410103.79</v>
      </c>
      <c r="Q60" s="43">
        <v>-290303.05</v>
      </c>
      <c r="R60" s="43">
        <v>-41000</v>
      </c>
      <c r="S60" s="43">
        <v>-38936.520000000019</v>
      </c>
      <c r="T60" s="43">
        <v>-45013.729999999996</v>
      </c>
      <c r="U60" s="43">
        <v>-122943.04999999999</v>
      </c>
      <c r="V60" s="43">
        <v>-125917.94</v>
      </c>
      <c r="W60" s="43">
        <v>-54201.99</v>
      </c>
      <c r="X60" s="43">
        <v>-126630.79</v>
      </c>
      <c r="Y60" s="43">
        <v>-146492.24000000002</v>
      </c>
      <c r="Z60" s="43">
        <v>-290846.2</v>
      </c>
      <c r="AA60" s="43">
        <v>-152068.85</v>
      </c>
      <c r="AB60" s="43">
        <v>-141989.20000000001</v>
      </c>
      <c r="AC60" s="43">
        <v>-151147.9</v>
      </c>
      <c r="AD60" s="44">
        <v>-100750.08</v>
      </c>
      <c r="AE60" s="44">
        <v>-125372.13</v>
      </c>
      <c r="AF60" s="44">
        <v>-174928.5</v>
      </c>
    </row>
    <row r="61" spans="1:32" x14ac:dyDescent="0.25">
      <c r="A61" s="31" t="s">
        <v>56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-420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-1680</v>
      </c>
      <c r="T61" s="37">
        <v>0</v>
      </c>
      <c r="U61" s="37">
        <v>0</v>
      </c>
      <c r="V61" s="37">
        <v>0</v>
      </c>
      <c r="W61" s="37">
        <v>0</v>
      </c>
      <c r="X61" s="37">
        <v>-30</v>
      </c>
      <c r="Y61" s="37">
        <v>-1390.89</v>
      </c>
      <c r="Z61" s="37">
        <v>-16.97</v>
      </c>
      <c r="AA61" s="37">
        <v>0</v>
      </c>
      <c r="AB61" s="37">
        <v>-369.71</v>
      </c>
      <c r="AC61" s="37">
        <v>-100</v>
      </c>
      <c r="AD61" s="38">
        <v>-118.77</v>
      </c>
      <c r="AE61" s="38"/>
      <c r="AF61" s="38">
        <v>-550</v>
      </c>
    </row>
    <row r="62" spans="1:32" x14ac:dyDescent="0.25">
      <c r="A62" s="31" t="s">
        <v>161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8"/>
      <c r="AE62" s="38">
        <v>-492.31</v>
      </c>
      <c r="AF62" s="38"/>
    </row>
    <row r="63" spans="1:32" x14ac:dyDescent="0.25">
      <c r="A63" s="31" t="s">
        <v>57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-380</v>
      </c>
      <c r="H63" s="37">
        <v>0</v>
      </c>
      <c r="I63" s="37">
        <v>0</v>
      </c>
      <c r="J63" s="37">
        <v>-58.8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-2256.5200000000004</v>
      </c>
      <c r="T63" s="37">
        <v>-1682.5099999999993</v>
      </c>
      <c r="U63" s="37">
        <v>-843.04999999999984</v>
      </c>
      <c r="V63" s="37">
        <v>-588.88</v>
      </c>
      <c r="W63" s="37">
        <v>-5059.9900000000007</v>
      </c>
      <c r="X63" s="37">
        <v>-4190.49</v>
      </c>
      <c r="Y63" s="37">
        <v>-101.35</v>
      </c>
      <c r="Z63" s="37">
        <v>-829.2299999999999</v>
      </c>
      <c r="AA63" s="37">
        <v>-1168.8499999999999</v>
      </c>
      <c r="AB63" s="37">
        <v>-1619.4899999999998</v>
      </c>
      <c r="AC63" s="37">
        <v>-547.9</v>
      </c>
      <c r="AD63" s="38">
        <v>-269.65000000000003</v>
      </c>
      <c r="AE63" s="38">
        <v>-525.76</v>
      </c>
      <c r="AF63" s="38">
        <v>-378.5</v>
      </c>
    </row>
    <row r="64" spans="1:32" x14ac:dyDescent="0.25">
      <c r="A64" s="31" t="s">
        <v>64</v>
      </c>
      <c r="B64" s="37">
        <v>-40000</v>
      </c>
      <c r="C64" s="37">
        <v>0</v>
      </c>
      <c r="D64" s="37">
        <v>-412000</v>
      </c>
      <c r="E64" s="37">
        <v>-83000</v>
      </c>
      <c r="F64" s="37">
        <v>-143000</v>
      </c>
      <c r="G64" s="37">
        <v>-250000</v>
      </c>
      <c r="H64" s="37">
        <v>-293837.27</v>
      </c>
      <c r="I64" s="37">
        <v>-48000</v>
      </c>
      <c r="J64" s="37">
        <v>-67000</v>
      </c>
      <c r="K64" s="37">
        <v>-71982.899999999994</v>
      </c>
      <c r="L64" s="37">
        <v>0</v>
      </c>
      <c r="M64" s="37">
        <v>-135000</v>
      </c>
      <c r="N64" s="37">
        <v>-348047.11</v>
      </c>
      <c r="O64" s="37">
        <v>-250000</v>
      </c>
      <c r="P64" s="37">
        <v>-410000</v>
      </c>
      <c r="Q64" s="37">
        <v>-290000</v>
      </c>
      <c r="R64" s="37">
        <v>-41000</v>
      </c>
      <c r="S64" s="37">
        <v>-35000</v>
      </c>
      <c r="T64" s="37">
        <v>-40000</v>
      </c>
      <c r="U64" s="37">
        <v>-120000</v>
      </c>
      <c r="V64" s="37">
        <v>-120000</v>
      </c>
      <c r="W64" s="37">
        <v>-49000</v>
      </c>
      <c r="X64" s="37">
        <v>-120000</v>
      </c>
      <c r="Y64" s="37">
        <v>-145000</v>
      </c>
      <c r="Z64" s="37">
        <v>-290000</v>
      </c>
      <c r="AA64" s="37">
        <v>-150000</v>
      </c>
      <c r="AB64" s="37">
        <v>-140000</v>
      </c>
      <c r="AC64" s="37">
        <v>-150500</v>
      </c>
      <c r="AD64" s="38">
        <v>-100000</v>
      </c>
      <c r="AE64" s="38">
        <v>-70000</v>
      </c>
      <c r="AF64" s="38">
        <v>-171000</v>
      </c>
    </row>
    <row r="65" spans="1:32" x14ac:dyDescent="0.25">
      <c r="A65" s="31" t="s">
        <v>58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-2300.1999999999998</v>
      </c>
      <c r="J65" s="37">
        <v>0</v>
      </c>
      <c r="K65" s="37">
        <v>0</v>
      </c>
      <c r="L65" s="37">
        <v>0</v>
      </c>
      <c r="M65" s="37">
        <v>-3342.5</v>
      </c>
      <c r="N65" s="37">
        <v>0</v>
      </c>
      <c r="O65" s="37">
        <v>0</v>
      </c>
      <c r="P65" s="37">
        <v>-103.79</v>
      </c>
      <c r="Q65" s="37">
        <v>0</v>
      </c>
      <c r="R65" s="37">
        <v>0</v>
      </c>
      <c r="S65" s="37">
        <v>0</v>
      </c>
      <c r="T65" s="37">
        <v>0</v>
      </c>
      <c r="U65" s="37">
        <v>-2100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-900</v>
      </c>
      <c r="AB65" s="37">
        <v>0</v>
      </c>
      <c r="AC65" s="37">
        <v>0</v>
      </c>
      <c r="AD65" s="38">
        <v>0</v>
      </c>
      <c r="AE65" s="38"/>
      <c r="AF65" s="38">
        <v>-3000</v>
      </c>
    </row>
    <row r="66" spans="1:32" x14ac:dyDescent="0.25">
      <c r="A66" s="31" t="s">
        <v>138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8">
        <v>0</v>
      </c>
      <c r="AE66" s="38"/>
      <c r="AF66" s="38"/>
    </row>
    <row r="67" spans="1:32" x14ac:dyDescent="0.25">
      <c r="A67" s="31" t="s">
        <v>60</v>
      </c>
      <c r="B67" s="37">
        <v>0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-2000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8">
        <v>0</v>
      </c>
      <c r="AE67" s="38"/>
      <c r="AF67" s="38"/>
    </row>
    <row r="68" spans="1:32" x14ac:dyDescent="0.25">
      <c r="A68" s="31" t="s">
        <v>61</v>
      </c>
      <c r="B68" s="37">
        <v>-1320</v>
      </c>
      <c r="C68" s="37">
        <v>0</v>
      </c>
      <c r="D68" s="37">
        <v>0</v>
      </c>
      <c r="E68" s="37">
        <v>-1.1399999999999999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8">
        <v>0</v>
      </c>
      <c r="AE68" s="38"/>
      <c r="AF68" s="38"/>
    </row>
    <row r="69" spans="1:32" x14ac:dyDescent="0.25">
      <c r="A69" s="31" t="s">
        <v>59</v>
      </c>
      <c r="B69" s="37">
        <v>0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-303.05</v>
      </c>
      <c r="R69" s="37">
        <v>0</v>
      </c>
      <c r="S69" s="37">
        <v>0</v>
      </c>
      <c r="T69" s="37">
        <v>-3331.2200000000003</v>
      </c>
      <c r="U69" s="37">
        <v>0</v>
      </c>
      <c r="V69" s="37">
        <v>-5329.06</v>
      </c>
      <c r="W69" s="37">
        <v>-142</v>
      </c>
      <c r="X69" s="37">
        <v>-2410.3000000000002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8">
        <v>-361.66</v>
      </c>
      <c r="AE69" s="38">
        <v>-54354.06</v>
      </c>
      <c r="AF69" s="38"/>
    </row>
    <row r="70" spans="1:32" x14ac:dyDescent="0.25">
      <c r="A70" s="31" t="s">
        <v>139</v>
      </c>
      <c r="B70" s="37">
        <v>0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8">
        <v>0</v>
      </c>
      <c r="AE70" s="38"/>
      <c r="AF70" s="38"/>
    </row>
    <row r="71" spans="1:32" x14ac:dyDescent="0.25">
      <c r="A71" s="31" t="s">
        <v>62</v>
      </c>
      <c r="B71" s="37">
        <v>0</v>
      </c>
      <c r="C71" s="37">
        <v>0</v>
      </c>
      <c r="D71" s="37">
        <v>-63.36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8">
        <v>0</v>
      </c>
      <c r="AE71" s="38"/>
      <c r="AF71" s="38"/>
    </row>
    <row r="72" spans="1:32" x14ac:dyDescent="0.25">
      <c r="A72" s="34" t="s">
        <v>140</v>
      </c>
      <c r="B72" s="39">
        <v>11373.68</v>
      </c>
      <c r="C72" s="39">
        <v>235408.29</v>
      </c>
      <c r="D72" s="39">
        <v>-187887.54</v>
      </c>
      <c r="E72" s="39">
        <v>-56749.22</v>
      </c>
      <c r="F72" s="39">
        <v>-1686.6300000000047</v>
      </c>
      <c r="G72" s="39">
        <v>63045.329999999987</v>
      </c>
      <c r="H72" s="39">
        <v>-2859.179999999993</v>
      </c>
      <c r="I72" s="39">
        <v>-61762.350000000006</v>
      </c>
      <c r="J72" s="39">
        <v>17563.610000000015</v>
      </c>
      <c r="K72" s="39">
        <v>-7613.1599999999962</v>
      </c>
      <c r="L72" s="39">
        <v>80482.040000000023</v>
      </c>
      <c r="M72" s="39">
        <v>-61006.8</v>
      </c>
      <c r="N72" s="39">
        <v>310991.16000000003</v>
      </c>
      <c r="O72" s="39">
        <v>-73701.26999999999</v>
      </c>
      <c r="P72" s="39">
        <v>-193135.31000000003</v>
      </c>
      <c r="Q72" s="39">
        <v>-9483</v>
      </c>
      <c r="R72" s="39">
        <v>-27715.94000000001</v>
      </c>
      <c r="S72" s="39">
        <v>-17659.410000000018</v>
      </c>
      <c r="T72" s="39">
        <v>91980.76999999999</v>
      </c>
      <c r="U72" s="39">
        <v>-58540.729999999967</v>
      </c>
      <c r="V72" s="39">
        <v>-16416.560000000012</v>
      </c>
      <c r="W72" s="39">
        <v>5219.1100000000079</v>
      </c>
      <c r="X72" s="39">
        <v>51038.120000000024</v>
      </c>
      <c r="Y72" s="39">
        <v>-36761.470000000016</v>
      </c>
      <c r="Z72" s="39">
        <v>32186.929999999993</v>
      </c>
      <c r="AA72" s="39">
        <v>-22220.030000000013</v>
      </c>
      <c r="AB72" s="39">
        <v>42885.070000000007</v>
      </c>
      <c r="AC72" s="39">
        <v>-14326.249999999942</v>
      </c>
      <c r="AD72" s="40">
        <v>-28094.930000000008</v>
      </c>
      <c r="AE72" s="40">
        <v>74473.14999999998</v>
      </c>
      <c r="AF72" s="40">
        <v>-10672.680000000022</v>
      </c>
    </row>
    <row r="73" spans="1:32" s="7" customFormat="1" x14ac:dyDescent="0.25">
      <c r="A73" s="27" t="s">
        <v>141</v>
      </c>
      <c r="B73" s="43">
        <v>0</v>
      </c>
      <c r="C73" s="43">
        <v>0</v>
      </c>
      <c r="D73" s="43">
        <v>0</v>
      </c>
      <c r="E73" s="43">
        <v>-1243.04</v>
      </c>
      <c r="F73" s="43">
        <v>-1243.04</v>
      </c>
      <c r="G73" s="43">
        <v>-1243.04</v>
      </c>
      <c r="H73" s="43">
        <v>-1243.04</v>
      </c>
      <c r="I73" s="43">
        <v>-1243.04</v>
      </c>
      <c r="J73" s="43">
        <v>-1243.04</v>
      </c>
      <c r="K73" s="43">
        <v>-1243.04</v>
      </c>
      <c r="L73" s="43">
        <v>-1243.04</v>
      </c>
      <c r="M73" s="43">
        <v>-1243.04</v>
      </c>
      <c r="N73" s="43">
        <v>-1243.04</v>
      </c>
      <c r="O73" s="43">
        <v>-1243.04</v>
      </c>
      <c r="P73" s="43">
        <v>-1242.9899999999998</v>
      </c>
      <c r="Q73" s="43">
        <v>-184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-2900.04</v>
      </c>
      <c r="X73" s="43">
        <v>-2900.04</v>
      </c>
      <c r="Y73" s="43">
        <v>-2963.94</v>
      </c>
      <c r="Z73" s="43">
        <v>-2963.9399999999996</v>
      </c>
      <c r="AA73" s="43">
        <v>-2963.9399999999996</v>
      </c>
      <c r="AB73" s="43">
        <v>-2963.95</v>
      </c>
      <c r="AC73" s="43">
        <v>-2323.91</v>
      </c>
      <c r="AD73" s="44">
        <v>-2323.91</v>
      </c>
      <c r="AE73" s="44">
        <v>-2698.41</v>
      </c>
      <c r="AF73" s="44">
        <v>-2698.4100000000003</v>
      </c>
    </row>
    <row r="74" spans="1:32" s="7" customFormat="1" x14ac:dyDescent="0.25">
      <c r="A74" s="30" t="s">
        <v>142</v>
      </c>
      <c r="B74" s="43">
        <v>0</v>
      </c>
      <c r="C74" s="43">
        <v>0</v>
      </c>
      <c r="D74" s="43">
        <v>0</v>
      </c>
      <c r="E74" s="43">
        <v>-1243.04</v>
      </c>
      <c r="F74" s="43">
        <v>-1243.04</v>
      </c>
      <c r="G74" s="43">
        <v>-1243.04</v>
      </c>
      <c r="H74" s="43">
        <v>-1243.04</v>
      </c>
      <c r="I74" s="43">
        <v>-1243.04</v>
      </c>
      <c r="J74" s="43">
        <v>-1243.04</v>
      </c>
      <c r="K74" s="43">
        <v>-1243.04</v>
      </c>
      <c r="L74" s="43">
        <v>-1243.04</v>
      </c>
      <c r="M74" s="43">
        <v>-1243.04</v>
      </c>
      <c r="N74" s="43">
        <v>-1243.04</v>
      </c>
      <c r="O74" s="43">
        <v>-1243.04</v>
      </c>
      <c r="P74" s="43">
        <v>-1242.9899999999998</v>
      </c>
      <c r="Q74" s="43">
        <v>-184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-2900.04</v>
      </c>
      <c r="X74" s="43">
        <v>-2900.04</v>
      </c>
      <c r="Y74" s="43">
        <v>-2963.94</v>
      </c>
      <c r="Z74" s="43">
        <v>-2963.9399999999996</v>
      </c>
      <c r="AA74" s="43">
        <v>-2963.9399999999996</v>
      </c>
      <c r="AB74" s="43">
        <v>-2963.95</v>
      </c>
      <c r="AC74" s="43">
        <v>-2323.91</v>
      </c>
      <c r="AD74" s="44">
        <v>-2323.91</v>
      </c>
      <c r="AE74" s="44">
        <v>-2698.41</v>
      </c>
      <c r="AF74" s="44">
        <v>-2698.4100000000003</v>
      </c>
    </row>
    <row r="75" spans="1:32" x14ac:dyDescent="0.25">
      <c r="A75" s="31" t="s">
        <v>53</v>
      </c>
      <c r="B75" s="37">
        <v>0</v>
      </c>
      <c r="C75" s="37">
        <v>0</v>
      </c>
      <c r="D75" s="37">
        <v>0</v>
      </c>
      <c r="E75" s="37">
        <v>-1243.04</v>
      </c>
      <c r="F75" s="37">
        <v>-1243.04</v>
      </c>
      <c r="G75" s="37">
        <v>-1243.04</v>
      </c>
      <c r="H75" s="37">
        <v>-1243.04</v>
      </c>
      <c r="I75" s="37">
        <v>-1243.04</v>
      </c>
      <c r="J75" s="37">
        <v>-1243.04</v>
      </c>
      <c r="K75" s="37">
        <v>-1243.04</v>
      </c>
      <c r="L75" s="37">
        <v>-1243.04</v>
      </c>
      <c r="M75" s="37">
        <v>-1243.04</v>
      </c>
      <c r="N75" s="37">
        <v>-1243.04</v>
      </c>
      <c r="O75" s="37">
        <v>-1243.04</v>
      </c>
      <c r="P75" s="37">
        <v>-1242.9899999999998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-2900.04</v>
      </c>
      <c r="X75" s="37">
        <v>-2900.04</v>
      </c>
      <c r="Y75" s="37">
        <v>-2900.04</v>
      </c>
      <c r="Z75" s="37">
        <v>-2900.04</v>
      </c>
      <c r="AA75" s="37">
        <v>-2900.04</v>
      </c>
      <c r="AB75" s="37">
        <v>-2900.05</v>
      </c>
      <c r="AC75" s="37">
        <v>-2260.0099999999998</v>
      </c>
      <c r="AD75" s="38">
        <v>-2260.0100000000002</v>
      </c>
      <c r="AE75" s="38">
        <v>-2634.5099999999998</v>
      </c>
      <c r="AF75" s="38">
        <v>-2634.51</v>
      </c>
    </row>
    <row r="76" spans="1:32" x14ac:dyDescent="0.25">
      <c r="A76" s="31" t="s">
        <v>54</v>
      </c>
      <c r="B76" s="37">
        <v>0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-184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8">
        <v>0</v>
      </c>
      <c r="AE76" s="38"/>
      <c r="AF76" s="38"/>
    </row>
    <row r="77" spans="1:32" x14ac:dyDescent="0.25">
      <c r="A77" s="31" t="s">
        <v>55</v>
      </c>
      <c r="B77" s="37">
        <v>0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-63.9</v>
      </c>
      <c r="Z77" s="37">
        <v>-63.9</v>
      </c>
      <c r="AA77" s="37">
        <v>-63.9</v>
      </c>
      <c r="AB77" s="37">
        <v>-63.9</v>
      </c>
      <c r="AC77" s="37">
        <v>-63.9</v>
      </c>
      <c r="AD77" s="38">
        <v>-63.9</v>
      </c>
      <c r="AE77" s="38">
        <v>-63.9</v>
      </c>
      <c r="AF77" s="38">
        <v>-63.9</v>
      </c>
    </row>
    <row r="78" spans="1:32" x14ac:dyDescent="0.25">
      <c r="A78" s="45" t="s">
        <v>143</v>
      </c>
      <c r="B78" s="46">
        <v>11373.68</v>
      </c>
      <c r="C78" s="46">
        <v>235408.29</v>
      </c>
      <c r="D78" s="46">
        <v>-187887.54</v>
      </c>
      <c r="E78" s="46">
        <v>-57992.26</v>
      </c>
      <c r="F78" s="46">
        <v>-2929.6700000000046</v>
      </c>
      <c r="G78" s="46">
        <v>61802.289999999986</v>
      </c>
      <c r="H78" s="46">
        <v>-4102.219999999993</v>
      </c>
      <c r="I78" s="46">
        <v>-63005.390000000007</v>
      </c>
      <c r="J78" s="46">
        <v>16320.570000000014</v>
      </c>
      <c r="K78" s="46">
        <v>-8856.1999999999971</v>
      </c>
      <c r="L78" s="46">
        <v>79239.000000000029</v>
      </c>
      <c r="M78" s="46">
        <v>-62249.840000000004</v>
      </c>
      <c r="N78" s="46">
        <v>309748.12000000005</v>
      </c>
      <c r="O78" s="46">
        <v>-74944.309999999983</v>
      </c>
      <c r="P78" s="46">
        <v>-194378.30000000002</v>
      </c>
      <c r="Q78" s="46">
        <v>-9667</v>
      </c>
      <c r="R78" s="46">
        <v>-27715.94000000001</v>
      </c>
      <c r="S78" s="46">
        <v>-17659.410000000018</v>
      </c>
      <c r="T78" s="46">
        <v>91980.76999999999</v>
      </c>
      <c r="U78" s="46">
        <v>-58540.729999999967</v>
      </c>
      <c r="V78" s="46">
        <v>-16416.560000000012</v>
      </c>
      <c r="W78" s="46">
        <v>2319.0700000000079</v>
      </c>
      <c r="X78" s="46">
        <v>48138.080000000024</v>
      </c>
      <c r="Y78" s="46">
        <v>-39725.410000000018</v>
      </c>
      <c r="Z78" s="46">
        <v>29222.989999999994</v>
      </c>
      <c r="AA78" s="46">
        <v>-25183.970000000012</v>
      </c>
      <c r="AB78" s="46">
        <v>39921.12000000001</v>
      </c>
      <c r="AC78" s="46">
        <v>-16650.159999999942</v>
      </c>
      <c r="AD78" s="47">
        <v>-30418.840000000007</v>
      </c>
      <c r="AE78" s="47">
        <v>71774.739999999976</v>
      </c>
      <c r="AF78" s="47">
        <v>-13371.090000000022</v>
      </c>
    </row>
  </sheetData>
  <phoneticPr fontId="1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4940-3731-40A4-8820-163BC3E03470}">
  <dimension ref="A1:D11"/>
  <sheetViews>
    <sheetView showGridLines="0" tabSelected="1" workbookViewId="0">
      <selection activeCell="J7" sqref="J7"/>
    </sheetView>
  </sheetViews>
  <sheetFormatPr defaultRowHeight="15" x14ac:dyDescent="0.25"/>
  <cols>
    <col min="1" max="1" width="50" customWidth="1"/>
    <col min="2" max="2" width="16.7109375" customWidth="1"/>
    <col min="3" max="3" width="12" customWidth="1"/>
    <col min="4" max="4" width="56" customWidth="1"/>
  </cols>
  <sheetData>
    <row r="1" spans="1:4" x14ac:dyDescent="0.25">
      <c r="A1" s="8" t="s">
        <v>97</v>
      </c>
      <c r="B1" s="8" t="s">
        <v>98</v>
      </c>
      <c r="C1" s="8" t="s">
        <v>2</v>
      </c>
      <c r="D1" s="8" t="s">
        <v>166</v>
      </c>
    </row>
    <row r="2" spans="1:4" x14ac:dyDescent="0.25">
      <c r="A2" s="8" t="s">
        <v>101</v>
      </c>
      <c r="B2" s="9">
        <v>45659</v>
      </c>
      <c r="C2" s="48">
        <v>1320</v>
      </c>
      <c r="D2" t="s">
        <v>174</v>
      </c>
    </row>
    <row r="3" spans="1:4" x14ac:dyDescent="0.25">
      <c r="A3" t="s">
        <v>99</v>
      </c>
      <c r="B3" s="9">
        <v>45707</v>
      </c>
      <c r="C3" s="2">
        <v>10000</v>
      </c>
      <c r="D3" t="s">
        <v>175</v>
      </c>
    </row>
    <row r="4" spans="1:4" x14ac:dyDescent="0.25">
      <c r="A4" t="s">
        <v>100</v>
      </c>
      <c r="B4" s="9">
        <v>45705</v>
      </c>
      <c r="C4" s="2">
        <v>2400</v>
      </c>
      <c r="D4" t="s">
        <v>175</v>
      </c>
    </row>
    <row r="5" spans="1:4" x14ac:dyDescent="0.25">
      <c r="A5" t="s">
        <v>169</v>
      </c>
      <c r="B5" s="9">
        <v>46165</v>
      </c>
      <c r="C5" s="2">
        <v>26917.05</v>
      </c>
      <c r="D5" t="s">
        <v>167</v>
      </c>
    </row>
    <row r="6" spans="1:4" x14ac:dyDescent="0.25">
      <c r="A6" t="s">
        <v>170</v>
      </c>
      <c r="B6" s="9">
        <v>46219</v>
      </c>
      <c r="C6" s="2">
        <v>5000</v>
      </c>
      <c r="D6" t="s">
        <v>176</v>
      </c>
    </row>
    <row r="7" spans="1:4" x14ac:dyDescent="0.25">
      <c r="A7" t="s">
        <v>165</v>
      </c>
      <c r="B7" s="9">
        <v>46219</v>
      </c>
      <c r="C7" s="2">
        <v>2000</v>
      </c>
      <c r="D7" t="s">
        <v>177</v>
      </c>
    </row>
    <row r="8" spans="1:4" x14ac:dyDescent="0.25">
      <c r="A8" t="s">
        <v>181</v>
      </c>
      <c r="B8" s="9">
        <v>46209</v>
      </c>
      <c r="C8" s="2">
        <v>3500</v>
      </c>
      <c r="D8" t="s">
        <v>178</v>
      </c>
    </row>
    <row r="9" spans="1:4" x14ac:dyDescent="0.25">
      <c r="A9" t="s">
        <v>171</v>
      </c>
      <c r="B9" s="9">
        <v>46230</v>
      </c>
      <c r="C9" s="2">
        <v>1000</v>
      </c>
      <c r="D9" t="s">
        <v>179</v>
      </c>
    </row>
    <row r="10" spans="1:4" x14ac:dyDescent="0.25">
      <c r="A10" t="s">
        <v>172</v>
      </c>
      <c r="B10" s="9">
        <v>46234</v>
      </c>
      <c r="C10" s="2">
        <v>2260.6799999999998</v>
      </c>
      <c r="D10" t="s">
        <v>180</v>
      </c>
    </row>
    <row r="11" spans="1:4" x14ac:dyDescent="0.25">
      <c r="A11" t="s">
        <v>173</v>
      </c>
      <c r="B11" s="9">
        <v>46234</v>
      </c>
      <c r="C11" s="2">
        <v>3300</v>
      </c>
      <c r="D11" t="s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SALDOS</vt:lpstr>
      <vt:lpstr>FATURAMENTO</vt:lpstr>
      <vt:lpstr>RECEITAS</vt:lpstr>
      <vt:lpstr>CENTRO DE CUSTO</vt:lpstr>
      <vt:lpstr>DFC</vt:lpstr>
      <vt:lpstr>DRE </vt:lpstr>
      <vt:lpstr>INADIMPLÊNCIA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- RR Dias Reis Advocacia</dc:creator>
  <cp:lastModifiedBy>Financeiro - RR Dias Reis Advocacia</cp:lastModifiedBy>
  <dcterms:created xsi:type="dcterms:W3CDTF">2026-06-11T20:13:39Z</dcterms:created>
  <dcterms:modified xsi:type="dcterms:W3CDTF">2026-08-03T17:51:03Z</dcterms:modified>
</cp:coreProperties>
</file>